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SOC-26\Medical_Verifier\"/>
    </mc:Choice>
  </mc:AlternateContent>
  <xr:revisionPtr revIDLastSave="0" documentId="8_{89D4BDA5-194E-4293-B275-6CA514F836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rison Dashboard" sheetId="1" r:id="rId1"/>
    <sheet name="Fair Comparison" sheetId="2" r:id="rId2"/>
    <sheet name="Per-Option Letter" sheetId="3" r:id="rId3"/>
    <sheet name="Calibration" sheetId="4" r:id="rId4"/>
    <sheet name="Ranking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2" l="1"/>
  <c r="I9" i="2"/>
  <c r="I8" i="2"/>
  <c r="I7" i="2"/>
</calcChain>
</file>

<file path=xl/sharedStrings.xml><?xml version="1.0" encoding="utf-8"?>
<sst xmlns="http://schemas.openxmlformats.org/spreadsheetml/2006/main" count="687" uniqueCount="350">
  <si>
    <t>MCQ VERIFICATION EXPERIMENTS — COMPARATIVE ANALYSIS</t>
  </si>
  <si>
    <t>Solo (Independent)  |  United (Full MCQ)  |  Duo (Pairwise)  |  Triplet (3-Option)</t>
  </si>
  <si>
    <t>METRIC</t>
  </si>
  <si>
    <t>SOLO</t>
  </si>
  <si>
    <t>UNITED</t>
  </si>
  <si>
    <t>DUO</t>
  </si>
  <si>
    <t>TRIPLET</t>
  </si>
  <si>
    <t>BEST VALUE</t>
  </si>
  <si>
    <t>WINNER</t>
  </si>
  <si>
    <t>DATASET</t>
  </si>
  <si>
    <t>Total Decisions</t>
  </si>
  <si>
    <t>3936</t>
  </si>
  <si>
    <t>3968</t>
  </si>
  <si>
    <t>5948</t>
  </si>
  <si>
    <t>8787</t>
  </si>
  <si>
    <t>TP  (% of decisions)</t>
  </si>
  <si>
    <t>22.48%</t>
  </si>
  <si>
    <t>23.31%</t>
  </si>
  <si>
    <t>48.10%</t>
  </si>
  <si>
    <t>32.27%</t>
  </si>
  <si>
    <t>TN  (% of decisions)</t>
  </si>
  <si>
    <t>67.07%</t>
  </si>
  <si>
    <t>73.31%</t>
  </si>
  <si>
    <t>65.61%</t>
  </si>
  <si>
    <t>FP  (% of decisions)</t>
  </si>
  <si>
    <t>7.93%</t>
  </si>
  <si>
    <t>1.69%</t>
  </si>
  <si>
    <t>1.90%</t>
  </si>
  <si>
    <t>1.06%</t>
  </si>
  <si>
    <t>FN  (% of decisions)</t>
  </si>
  <si>
    <t>2.52%</t>
  </si>
  <si>
    <t>📊  Raw metrics below are class-balance dependent and NOT directly comparable across experiments. See 'Fair Comparison' sheet for above-baseline gains. MCC &amp; Kappa (at bottom) are the valid comparison metrics.</t>
  </si>
  <si>
    <t>BINARY METRICS</t>
  </si>
  <si>
    <t>Binary Accuracy</t>
  </si>
  <si>
    <t>89.56%</t>
  </si>
  <si>
    <t>96.62%</t>
  </si>
  <si>
    <t>96.20%</t>
  </si>
  <si>
    <t>97.88%</t>
  </si>
  <si>
    <t>Precision</t>
  </si>
  <si>
    <t>73.93%</t>
  </si>
  <si>
    <t>93.25%</t>
  </si>
  <si>
    <t>96.82%</t>
  </si>
  <si>
    <t>Recall</t>
  </si>
  <si>
    <t>89.94%</t>
  </si>
  <si>
    <t>Specificity</t>
  </si>
  <si>
    <t>89.43%</t>
  </si>
  <si>
    <t>97.75%</t>
  </si>
  <si>
    <t>98.41%</t>
  </si>
  <si>
    <t>F1 Score</t>
  </si>
  <si>
    <t>81.16%</t>
  </si>
  <si>
    <t>Balanced Accuracy</t>
  </si>
  <si>
    <t>89.68%</t>
  </si>
  <si>
    <t>95.50%</t>
  </si>
  <si>
    <t>97.62%</t>
  </si>
  <si>
    <t>MCC</t>
  </si>
  <si>
    <t>74.71%</t>
  </si>
  <si>
    <t>90.99%</t>
  </si>
  <si>
    <t>92.40%</t>
  </si>
  <si>
    <t>95.24%</t>
  </si>
  <si>
    <t>Cohen's Kappa</t>
  </si>
  <si>
    <t>74.03%</t>
  </si>
  <si>
    <t>NPV</t>
  </si>
  <si>
    <t>96.39%</t>
  </si>
  <si>
    <t>FPR</t>
  </si>
  <si>
    <t>10.57%</t>
  </si>
  <si>
    <t>2.25%</t>
  </si>
  <si>
    <t>3.80%</t>
  </si>
  <si>
    <t>1.59%</t>
  </si>
  <si>
    <t>FNR</t>
  </si>
  <si>
    <t>10.06%</t>
  </si>
  <si>
    <t>6.75%</t>
  </si>
  <si>
    <t>3.18%</t>
  </si>
  <si>
    <t>MCQ RECONSTRUCTION</t>
  </si>
  <si>
    <t>Strict Accuracy</t>
  </si>
  <si>
    <t>71.65%</t>
  </si>
  <si>
    <t>93.15%</t>
  </si>
  <si>
    <t>93.21%</t>
  </si>
  <si>
    <t>94.81%</t>
  </si>
  <si>
    <t>Relaxed Accuracy</t>
  </si>
  <si>
    <t>93.35%</t>
  </si>
  <si>
    <t>98.50%</t>
  </si>
  <si>
    <t>99.08%</t>
  </si>
  <si>
    <t>NATIVE / EXPERIMENT-SPECIFIC</t>
  </si>
  <si>
    <t>MCQ Accuracy</t>
  </si>
  <si>
    <t>N/A</t>
  </si>
  <si>
    <t>—</t>
  </si>
  <si>
    <t>Pairwise Accuracy</t>
  </si>
  <si>
    <t>Question Consistency</t>
  </si>
  <si>
    <t>Multi-YES Count</t>
  </si>
  <si>
    <t>202</t>
  </si>
  <si>
    <t>2</t>
  </si>
  <si>
    <t>9</t>
  </si>
  <si>
    <t>None Predictions</t>
  </si>
  <si>
    <t>57</t>
  </si>
  <si>
    <t>0</t>
  </si>
  <si>
    <t>Avg Reasoning Len (chars)</t>
  </si>
  <si>
    <t>598.80</t>
  </si>
  <si>
    <t>566.90</t>
  </si>
  <si>
    <t>702.25</t>
  </si>
  <si>
    <t>LEGEND</t>
  </si>
  <si>
    <t>Best value</t>
  </si>
  <si>
    <t>Worst value</t>
  </si>
  <si>
    <t>N/A — not applicable</t>
  </si>
  <si>
    <t>FAIR CROSS-EXPERIMENT COMPARISON — CLASS-BALANCE CORRECTED</t>
  </si>
  <si>
    <t>RANDOM BASELINE (calibrated classifier — no skill)</t>
  </si>
  <si>
    <t>Metric</t>
  </si>
  <si>
    <t>Pos Rate</t>
  </si>
  <si>
    <t>Note</t>
  </si>
  <si>
    <t>Positive base rate</t>
  </si>
  <si>
    <t>25.00%</t>
  </si>
  <si>
    <t>50.00%</t>
  </si>
  <si>
    <t>33.33%</t>
  </si>
  <si>
    <t>1-of-N</t>
  </si>
  <si>
    <t># correct / total options per eval</t>
  </si>
  <si>
    <t>Random Accuracy</t>
  </si>
  <si>
    <t>62.50%</t>
  </si>
  <si>
    <t>55.56%</t>
  </si>
  <si>
    <t>pos²+neg²</t>
  </si>
  <si>
    <t>Random Precision</t>
  </si>
  <si>
    <t>Random Recall</t>
  </si>
  <si>
    <t>Random F1</t>
  </si>
  <si>
    <t>Random Specificity</t>
  </si>
  <si>
    <t>75.00%</t>
  </si>
  <si>
    <t>66.67%</t>
  </si>
  <si>
    <t>Winner</t>
  </si>
  <si>
    <t>Interpretation</t>
  </si>
  <si>
    <t>Accuracy (above baseline)</t>
  </si>
  <si>
    <t>+27.06pp</t>
  </si>
  <si>
    <t>+34.12pp</t>
  </si>
  <si>
    <t>+46.20pp</t>
  </si>
  <si>
    <t>+42.32pp</t>
  </si>
  <si>
    <t>DUO leads (+46.2pp). TRIPLET +42.3pp. Both beat SOLO/UNITED's easier floor.</t>
  </si>
  <si>
    <t>Precision (above baseline)</t>
  </si>
  <si>
    <t>+48.93pp</t>
  </si>
  <si>
    <t>+68.25pp</t>
  </si>
  <si>
    <t>+63.49pp</t>
  </si>
  <si>
    <t>UNITED leads (+68.3pp on 25% floor). TRIPLET +63.5pp. DUO +46.2pp on harder 50% floor.</t>
  </si>
  <si>
    <t>Recall (above baseline)</t>
  </si>
  <si>
    <t>+64.94pp</t>
  </si>
  <si>
    <t>UNITED leads (+68.3pp). TRIPLET +63.5pp. Note: DUO/TRIPLET Recall=Precision by design.</t>
  </si>
  <si>
    <t>F1 (above baseline)</t>
  </si>
  <si>
    <t>+56.16pp</t>
  </si>
  <si>
    <t>UNITED leads (+68.3pp). TRIPLET +63.5pp. DUO +46.2pp — DUO's floor is hardest.</t>
  </si>
  <si>
    <t>Specificity (above baseline)</t>
  </si>
  <si>
    <t>+14.43pp</t>
  </si>
  <si>
    <t>+22.75pp</t>
  </si>
  <si>
    <t>+31.74pp</t>
  </si>
  <si>
    <t>DUO leads (+46.2pp on 50% floor). TRIPLET +31.7pp. UNITED +22.8pp on 75% floor.</t>
  </si>
  <si>
    <t>FPR improvement (baseline−actual)</t>
  </si>
  <si>
    <t>DUO improves most (+46.2pp). TRIPLET +31.7pp. UNITED +22.8pp on 75% floor.</t>
  </si>
  <si>
    <t>FNR improvement (baseline−actual)</t>
  </si>
  <si>
    <t>UNITED leads (+68.3pp). TRIPLET +63.5pp. DUO +46.2pp.</t>
  </si>
  <si>
    <t>MCC &amp; COHEN'S KAPPA — DIRECTLY COMPARABLE (class-balance corrected by definition)</t>
  </si>
  <si>
    <t>Baseline always=0. TRIPLET genuinely leads. Valid direct comparison.</t>
  </si>
  <si>
    <t>Baseline always=0. Corrects for chance. Same ranking as MCC.</t>
  </si>
  <si>
    <t>Strict MCQ Acc</t>
  </si>
  <si>
    <t>Question-level. Comparable only if question sets are matched.</t>
  </si>
  <si>
    <t>Relaxed MCQ Acc</t>
  </si>
  <si>
    <t>Question-level. DUO 98.50% vs TRIPLET 99.08% — question sets differ slightly.</t>
  </si>
  <si>
    <t>STRUCTURAL NOTES — Why Precision=Recall in DUO &amp; TRIPLET</t>
  </si>
  <si>
    <t>•  DUO &amp; TRIPLET: Model must pick exactly 1 winner → every wrong prediction = 1 FP + 1 FN simultaneously → Precision = Recall = F1 by mathematical necessity, not model quality.</t>
  </si>
  <si>
    <t>•  SOLO: Independent YES/NO per option → can produce Multi-YES (FP without FN) or NONE (FN without FP) → Precision ≠ Recall. This makes SOLO's Precision fundamentally different from DUO/TRIPLET's.</t>
  </si>
  <si>
    <t>•  UNITED: Selects 1 answer but also produces per-option labels → mostly forced Precision≈Recall, but 2 multi-YES label cases introduce minor divergence.</t>
  </si>
  <si>
    <t>•  Question sets differ: SOLO=984, UNITED=992, DUO=1001, TRIPLET=983 questions. Some questions may be unique to each experiment. Strict cross-experiment comparison assumes comparable difficulty distributions.</t>
  </si>
  <si>
    <t>★  Recommendation: Use MCC or Cohen's Kappa for cross-experiment ranking. Use above-baseline gains for metric-specific comparison. Use raw metrics for within-experiment analysis only.</t>
  </si>
  <si>
    <t>PER-OPTION LETTER BREAKDOWN — ALL EXPERIMENTS</t>
  </si>
  <si>
    <t>EXPERIMENT: SOLO</t>
  </si>
  <si>
    <t>Option</t>
  </si>
  <si>
    <t>Value</t>
  </si>
  <si>
    <t>vs BEST</t>
  </si>
  <si>
    <t>A</t>
  </si>
  <si>
    <t>Acc</t>
  </si>
  <si>
    <t>89.53%</t>
  </si>
  <si>
    <t>Prec</t>
  </si>
  <si>
    <t>80.22%</t>
  </si>
  <si>
    <t>Rec</t>
  </si>
  <si>
    <t>90.80%</t>
  </si>
  <si>
    <t>Spec</t>
  </si>
  <si>
    <t>88.91%</t>
  </si>
  <si>
    <t>F1</t>
  </si>
  <si>
    <t>85.18%</t>
  </si>
  <si>
    <t>B</t>
  </si>
  <si>
    <t>88.72%</t>
  </si>
  <si>
    <t>72.67%</t>
  </si>
  <si>
    <t>91.05%</t>
  </si>
  <si>
    <t>87.90%</t>
  </si>
  <si>
    <t>80.83%</t>
  </si>
  <si>
    <t>C</t>
  </si>
  <si>
    <t>88.82%</t>
  </si>
  <si>
    <t>68.21%</t>
  </si>
  <si>
    <t>90.09%</t>
  </si>
  <si>
    <t>88.47%</t>
  </si>
  <si>
    <t>77.64%</t>
  </si>
  <si>
    <t>D</t>
  </si>
  <si>
    <t>91.16%</t>
  </si>
  <si>
    <t>72.57%</t>
  </si>
  <si>
    <t>86.77%</t>
  </si>
  <si>
    <t>92.20%</t>
  </si>
  <si>
    <t>79.04%</t>
  </si>
  <si>
    <t>EXPERIMENT: UNITED</t>
  </si>
  <si>
    <t>93.48%</t>
  </si>
  <si>
    <t>92.90%</t>
  </si>
  <si>
    <t>93.19%</t>
  </si>
  <si>
    <t>94.59%</t>
  </si>
  <si>
    <t>93.87%</t>
  </si>
  <si>
    <t>94.23%</t>
  </si>
  <si>
    <t>91.78%</t>
  </si>
  <si>
    <t>93.06%</t>
  </si>
  <si>
    <t>92.41%</t>
  </si>
  <si>
    <t>92.71%</t>
  </si>
  <si>
    <t>92.95%</t>
  </si>
  <si>
    <t>EXPERIMENT: DUO</t>
  </si>
  <si>
    <t>96.67%</t>
  </si>
  <si>
    <t>96.06%</t>
  </si>
  <si>
    <t>98.30%</t>
  </si>
  <si>
    <t>94.41%</t>
  </si>
  <si>
    <t>97.17%</t>
  </si>
  <si>
    <t>97.23%</t>
  </si>
  <si>
    <t>96.29%</t>
  </si>
  <si>
    <t>98.48%</t>
  </si>
  <si>
    <t>95.86%</t>
  </si>
  <si>
    <t>97.38%</t>
  </si>
  <si>
    <t>96.43%</t>
  </si>
  <si>
    <t>94.80%</t>
  </si>
  <si>
    <t>97.55%</t>
  </si>
  <si>
    <t>95.47%</t>
  </si>
  <si>
    <t>96.16%</t>
  </si>
  <si>
    <t>94.28%</t>
  </si>
  <si>
    <t>98.10%</t>
  </si>
  <si>
    <t>88.23%</t>
  </si>
  <si>
    <t>98.74%</t>
  </si>
  <si>
    <t>EXPERIMENT: TRIPLET</t>
  </si>
  <si>
    <t>97.48%</t>
  </si>
  <si>
    <t>97.39%</t>
  </si>
  <si>
    <t>96.44%</t>
  </si>
  <si>
    <t>98.20%</t>
  </si>
  <si>
    <t>96.91%</t>
  </si>
  <si>
    <t>97.42%</t>
  </si>
  <si>
    <t>96.55%</t>
  </si>
  <si>
    <t>98.60%</t>
  </si>
  <si>
    <t>96.99%</t>
  </si>
  <si>
    <t>96.63%</t>
  </si>
  <si>
    <t>97.37%</t>
  </si>
  <si>
    <t>98.55%</t>
  </si>
  <si>
    <t>97.00%</t>
  </si>
  <si>
    <t>97.99%</t>
  </si>
  <si>
    <t>95.37%</t>
  </si>
  <si>
    <t>97.20%</t>
  </si>
  <si>
    <t>98.28%</t>
  </si>
  <si>
    <t>96.28%</t>
  </si>
  <si>
    <t>CALIBRATION COMPARISON — GT Rate vs Predicted Rate</t>
  </si>
  <si>
    <t>Calibration Error = |Pred Rate - GT Rate|.  Lower is better.  UNITED shows near-perfect calibration.</t>
  </si>
  <si>
    <t>Experiment</t>
  </si>
  <si>
    <t>GT Rate</t>
  </si>
  <si>
    <t>Pred Rate</t>
  </si>
  <si>
    <t>Cal Error</t>
  </si>
  <si>
    <t>Quality</t>
  </si>
  <si>
    <t>33.13%</t>
  </si>
  <si>
    <t>37.50%</t>
  </si>
  <si>
    <t>4.37%</t>
  </si>
  <si>
    <t>Moderate</t>
  </si>
  <si>
    <t>26.12%</t>
  </si>
  <si>
    <t>32.72%</t>
  </si>
  <si>
    <t>6.61%</t>
  </si>
  <si>
    <t>Poor</t>
  </si>
  <si>
    <t>21.54%</t>
  </si>
  <si>
    <t>28.46%</t>
  </si>
  <si>
    <t>6.91%</t>
  </si>
  <si>
    <t>19.21%</t>
  </si>
  <si>
    <t>22.97%</t>
  </si>
  <si>
    <t>3.76%</t>
  </si>
  <si>
    <t>32.66%</t>
  </si>
  <si>
    <t>32.46%</t>
  </si>
  <si>
    <t>0.20%</t>
  </si>
  <si>
    <t>Excellent</t>
  </si>
  <si>
    <t>26.31%</t>
  </si>
  <si>
    <t>26.11%</t>
  </si>
  <si>
    <t>21.77%</t>
  </si>
  <si>
    <t>22.08%</t>
  </si>
  <si>
    <t>0.30%</t>
  </si>
  <si>
    <t>19.25%</t>
  </si>
  <si>
    <t>19.35%</t>
  </si>
  <si>
    <t>0.10%</t>
  </si>
  <si>
    <t>58.10%</t>
  </si>
  <si>
    <t>59.46%</t>
  </si>
  <si>
    <t>1.36%</t>
  </si>
  <si>
    <t>Good</t>
  </si>
  <si>
    <t>52.18%</t>
  </si>
  <si>
    <t>53.36%</t>
  </si>
  <si>
    <t>1.19%</t>
  </si>
  <si>
    <t>45.83%</t>
  </si>
  <si>
    <t>47.16%</t>
  </si>
  <si>
    <t>1.33%</t>
  </si>
  <si>
    <t>42.40%</t>
  </si>
  <si>
    <t>38.13%</t>
  </si>
  <si>
    <t>4.27%</t>
  </si>
  <si>
    <t>40.96%</t>
  </si>
  <si>
    <t>40.57%</t>
  </si>
  <si>
    <t>0.40%</t>
  </si>
  <si>
    <t>35.38%</t>
  </si>
  <si>
    <t>35.07%</t>
  </si>
  <si>
    <t>0.32%</t>
  </si>
  <si>
    <t>29.83%</t>
  </si>
  <si>
    <t>30.06%</t>
  </si>
  <si>
    <t>0.23%</t>
  </si>
  <si>
    <t>26.70%</t>
  </si>
  <si>
    <t>27.22%</t>
  </si>
  <si>
    <t>0.51%</t>
  </si>
  <si>
    <t>EXPERIMENT RANKINGS — KEY METRICS</t>
  </si>
  <si>
    <t>Rank 1 = best. All 4 experiments ranked per metric.</t>
  </si>
  <si>
    <t>Notes</t>
  </si>
  <si>
    <t>#4  89.56%</t>
  </si>
  <si>
    <t>#2  96.62%</t>
  </si>
  <si>
    <t>#3  96.20%</t>
  </si>
  <si>
    <t>#1  97.88%</t>
  </si>
  <si>
    <t>↑ higher is better</t>
  </si>
  <si>
    <t>#4  81.16%</t>
  </si>
  <si>
    <t>#3  93.25%</t>
  </si>
  <si>
    <t>#2  96.20%</t>
  </si>
  <si>
    <t>#1  96.82%</t>
  </si>
  <si>
    <t>#4  74.71%</t>
  </si>
  <si>
    <t>#3  90.99%</t>
  </si>
  <si>
    <t>#2  92.40%</t>
  </si>
  <si>
    <t>#1  95.24%</t>
  </si>
  <si>
    <t>#4  74.03%</t>
  </si>
  <si>
    <t>#4  73.93%</t>
  </si>
  <si>
    <t>#4  89.94%</t>
  </si>
  <si>
    <t>#4  89.43%</t>
  </si>
  <si>
    <t>#2  97.75%</t>
  </si>
  <si>
    <t>#1  98.41%</t>
  </si>
  <si>
    <t>#4  10.57%</t>
  </si>
  <si>
    <t>#2  2.25%</t>
  </si>
  <si>
    <t>#3  3.80%</t>
  </si>
  <si>
    <t>#1  1.59%</t>
  </si>
  <si>
    <t>↓ lower is better</t>
  </si>
  <si>
    <t>#4  10.06%</t>
  </si>
  <si>
    <t>#3  6.75%</t>
  </si>
  <si>
    <t>#2  3.80%</t>
  </si>
  <si>
    <t>#1  3.18%</t>
  </si>
  <si>
    <t>#4  71.65%</t>
  </si>
  <si>
    <t>#3  93.15%</t>
  </si>
  <si>
    <t>#2  93.21%</t>
  </si>
  <si>
    <t>#1  94.81%</t>
  </si>
  <si>
    <t>#3  93.35%</t>
  </si>
  <si>
    <t>#2  98.50%</t>
  </si>
  <si>
    <t>#1  99.08%</t>
  </si>
  <si>
    <t>WIN COUNT SUMMARY</t>
  </si>
  <si>
    <t>0 wins</t>
  </si>
  <si>
    <t>11 wins</t>
  </si>
  <si>
    <t xml:space="preserve">ABOVE-BASELINE GAIN  (actual − random baseline)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</si>
</sst>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BDC3C7"/>
      <name val="Arial"/>
    </font>
    <font>
      <b/>
      <sz val="11"/>
      <color rgb="FFFFFFFF"/>
      <name val="Arial"/>
    </font>
    <font>
      <sz val="10"/>
      <color rgb="FF000000"/>
      <name val="Arial"/>
    </font>
    <font>
      <sz val="10"/>
      <color rgb="FFC0392B"/>
      <name val="Arial"/>
    </font>
    <font>
      <b/>
      <sz val="10"/>
      <color rgb="FF1E8449"/>
      <name val="Arial"/>
    </font>
    <font>
      <b/>
      <sz val="10"/>
      <color rgb="FFFFFFFF"/>
      <name val="Arial"/>
    </font>
    <font>
      <i/>
      <sz val="10"/>
      <color rgb="FFAAAAAA"/>
      <name val="Arial"/>
    </font>
    <font>
      <sz val="10"/>
      <color rgb="FF1E8449"/>
      <name val="Arial"/>
    </font>
    <font>
      <sz val="10"/>
      <color rgb="FFAAAAAA"/>
      <name val="Arial"/>
    </font>
    <font>
      <b/>
      <sz val="14"/>
      <color rgb="FFFFFFFF"/>
      <name val="Arial"/>
    </font>
    <font>
      <b/>
      <sz val="12"/>
      <color rgb="FFFFFFFF"/>
      <name val="Arial"/>
    </font>
    <font>
      <b/>
      <sz val="10"/>
      <name val="Arial"/>
    </font>
    <font>
      <sz val="10"/>
      <name val="Arial"/>
    </font>
    <font>
      <i/>
      <sz val="10"/>
      <color rgb="FF555555"/>
      <name val="Arial"/>
    </font>
    <font>
      <i/>
      <sz val="9"/>
      <color rgb="FF555555"/>
      <name val="Arial"/>
    </font>
    <font>
      <i/>
      <sz val="9"/>
      <color rgb="FF805700"/>
      <name val="Arial"/>
    </font>
    <font>
      <b/>
      <sz val="10"/>
      <color rgb="FF1E4D2B"/>
      <name val="Arial"/>
    </font>
  </fonts>
  <fills count="18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1F3864"/>
      </patternFill>
    </fill>
    <fill>
      <patternFill patternType="solid">
        <fgColor rgb="FF2980B9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BF5FB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F7F9FC"/>
      </patternFill>
    </fill>
    <fill>
      <patternFill patternType="solid">
        <fgColor rgb="FFFFD700"/>
      </patternFill>
    </fill>
    <fill>
      <patternFill patternType="solid">
        <fgColor rgb="FF6B3FA0"/>
      </patternFill>
    </fill>
    <fill>
      <patternFill patternType="solid">
        <fgColor rgb="FFFFF8E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0" fillId="8" borderId="0" xfId="0" applyFill="1"/>
    <xf numFmtId="0" fontId="5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3" fillId="13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left" vertical="center" wrapText="1"/>
    </xf>
    <xf numFmtId="0" fontId="4" fillId="11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4" fillId="8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0" fillId="16" borderId="0" xfId="0" applyFill="1"/>
    <xf numFmtId="0" fontId="14" fillId="8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4" fillId="8" borderId="0" xfId="0" applyFont="1" applyFill="1" applyAlignment="1">
      <alignment horizontal="left" vertical="center" wrapText="1"/>
    </xf>
    <xf numFmtId="0" fontId="14" fillId="11" borderId="0" xfId="0" applyFont="1" applyFill="1" applyAlignment="1">
      <alignment horizontal="left" vertical="center" wrapText="1"/>
    </xf>
    <xf numFmtId="0" fontId="7" fillId="16" borderId="0" xfId="0" applyFont="1" applyFill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6" fillId="15" borderId="0" xfId="0" applyFont="1" applyFill="1" applyAlignment="1">
      <alignment horizontal="center" vertical="center" wrapText="1"/>
    </xf>
    <xf numFmtId="0" fontId="12" fillId="16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5" fillId="9" borderId="1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7" fillId="17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  <xf numFmtId="0" fontId="0" fillId="8" borderId="0" xfId="0" applyFill="1"/>
    <xf numFmtId="0" fontId="18" fillId="10" borderId="1" xfId="0" applyFont="1" applyFill="1" applyBorder="1" applyAlignment="1">
      <alignment horizontal="left" vertical="center" wrapText="1"/>
    </xf>
    <xf numFmtId="0" fontId="12" fillId="5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12" fillId="16" borderId="0" xfId="0" applyFont="1" applyFill="1" applyAlignment="1">
      <alignment horizontal="left" vertical="center" wrapText="1"/>
    </xf>
    <xf numFmtId="0" fontId="12" fillId="6" borderId="0" xfId="0" applyFont="1" applyFill="1" applyAlignment="1">
      <alignment horizontal="left" vertical="center" wrapText="1"/>
    </xf>
    <xf numFmtId="0" fontId="15" fillId="14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showGridLines="0" tabSelected="1" workbookViewId="0">
      <selection activeCell="A13" sqref="A13:I13"/>
    </sheetView>
  </sheetViews>
  <sheetFormatPr defaultRowHeight="14.4" x14ac:dyDescent="0.3"/>
  <cols>
    <col min="1" max="1" width="32" customWidth="1"/>
    <col min="2" max="2" width="5" customWidth="1"/>
    <col min="3" max="6" width="18" customWidth="1"/>
    <col min="7" max="7" width="5" customWidth="1"/>
    <col min="8" max="9" width="22" customWidth="1"/>
  </cols>
  <sheetData>
    <row r="1" spans="1:9" ht="36" customHeight="1" x14ac:dyDescent="0.3">
      <c r="A1" s="70" t="s">
        <v>0</v>
      </c>
      <c r="B1" s="66"/>
      <c r="C1" s="66"/>
      <c r="D1" s="66"/>
      <c r="E1" s="66"/>
      <c r="F1" s="66"/>
      <c r="G1" s="66"/>
      <c r="H1" s="66"/>
      <c r="I1" s="66"/>
    </row>
    <row r="2" spans="1:9" ht="22.05" customHeight="1" x14ac:dyDescent="0.3">
      <c r="A2" s="67" t="s">
        <v>1</v>
      </c>
      <c r="B2" s="66"/>
      <c r="C2" s="66"/>
      <c r="D2" s="66"/>
      <c r="E2" s="66"/>
      <c r="F2" s="66"/>
      <c r="G2" s="66"/>
      <c r="H2" s="66"/>
      <c r="I2" s="66"/>
    </row>
    <row r="3" spans="1:9" ht="6" customHeight="1" x14ac:dyDescent="0.3"/>
    <row r="4" spans="1:9" ht="30" customHeight="1" x14ac:dyDescent="0.3">
      <c r="A4" s="1" t="s">
        <v>2</v>
      </c>
      <c r="B4" s="7"/>
      <c r="C4" s="1" t="s">
        <v>3</v>
      </c>
      <c r="D4" s="1" t="s">
        <v>4</v>
      </c>
      <c r="E4" s="1" t="s">
        <v>5</v>
      </c>
      <c r="F4" s="43" t="s">
        <v>6</v>
      </c>
      <c r="G4" s="7"/>
      <c r="H4" s="1" t="s">
        <v>7</v>
      </c>
      <c r="I4" s="1" t="s">
        <v>8</v>
      </c>
    </row>
    <row r="5" spans="1:9" ht="7.95" customHeight="1" x14ac:dyDescent="0.3">
      <c r="C5" s="2"/>
      <c r="D5" s="3"/>
      <c r="E5" s="4"/>
      <c r="F5" s="44"/>
    </row>
    <row r="6" spans="1:9" ht="22.05" customHeight="1" x14ac:dyDescent="0.3">
      <c r="A6" s="61" t="s">
        <v>9</v>
      </c>
      <c r="B6" s="62"/>
      <c r="C6" s="62"/>
      <c r="D6" s="62"/>
      <c r="E6" s="62"/>
      <c r="F6" s="62"/>
      <c r="G6" s="62"/>
      <c r="H6" s="62"/>
      <c r="I6" s="63"/>
    </row>
    <row r="7" spans="1:9" ht="19.95" customHeight="1" x14ac:dyDescent="0.3">
      <c r="A7" s="45" t="s">
        <v>10</v>
      </c>
      <c r="B7" s="7"/>
      <c r="C7" s="8" t="s">
        <v>11</v>
      </c>
      <c r="D7" s="41" t="s">
        <v>12</v>
      </c>
      <c r="E7" s="41" t="s">
        <v>13</v>
      </c>
      <c r="F7" s="10" t="s">
        <v>14</v>
      </c>
      <c r="G7" s="7"/>
      <c r="H7" s="10" t="s">
        <v>14</v>
      </c>
      <c r="I7" s="46" t="s">
        <v>6</v>
      </c>
    </row>
    <row r="8" spans="1:9" ht="19.95" customHeight="1" x14ac:dyDescent="0.3">
      <c r="A8" s="47" t="s">
        <v>15</v>
      </c>
      <c r="B8" s="7"/>
      <c r="C8" s="8" t="s">
        <v>16</v>
      </c>
      <c r="D8" s="42" t="s">
        <v>17</v>
      </c>
      <c r="E8" s="10" t="s">
        <v>18</v>
      </c>
      <c r="F8" s="42" t="s">
        <v>19</v>
      </c>
      <c r="G8" s="7"/>
      <c r="H8" s="10" t="s">
        <v>18</v>
      </c>
      <c r="I8" s="11" t="s">
        <v>5</v>
      </c>
    </row>
    <row r="9" spans="1:9" ht="19.95" customHeight="1" x14ac:dyDescent="0.3">
      <c r="A9" s="45" t="s">
        <v>20</v>
      </c>
      <c r="B9" s="7"/>
      <c r="C9" s="41" t="s">
        <v>21</v>
      </c>
      <c r="D9" s="10" t="s">
        <v>22</v>
      </c>
      <c r="E9" s="8" t="s">
        <v>18</v>
      </c>
      <c r="F9" s="41" t="s">
        <v>23</v>
      </c>
      <c r="G9" s="7"/>
      <c r="H9" s="10" t="s">
        <v>22</v>
      </c>
      <c r="I9" s="14" t="s">
        <v>4</v>
      </c>
    </row>
    <row r="10" spans="1:9" ht="19.95" customHeight="1" x14ac:dyDescent="0.3">
      <c r="A10" s="47" t="s">
        <v>24</v>
      </c>
      <c r="B10" s="7"/>
      <c r="C10" s="8" t="s">
        <v>25</v>
      </c>
      <c r="D10" s="42" t="s">
        <v>26</v>
      </c>
      <c r="E10" s="42" t="s">
        <v>27</v>
      </c>
      <c r="F10" s="10" t="s">
        <v>28</v>
      </c>
      <c r="G10" s="7"/>
      <c r="H10" s="10" t="s">
        <v>28</v>
      </c>
      <c r="I10" s="46" t="s">
        <v>6</v>
      </c>
    </row>
    <row r="11" spans="1:9" ht="19.95" customHeight="1" x14ac:dyDescent="0.3">
      <c r="A11" s="45" t="s">
        <v>29</v>
      </c>
      <c r="B11" s="7"/>
      <c r="C11" s="8" t="s">
        <v>30</v>
      </c>
      <c r="D11" s="41" t="s">
        <v>26</v>
      </c>
      <c r="E11" s="41" t="s">
        <v>27</v>
      </c>
      <c r="F11" s="10" t="s">
        <v>28</v>
      </c>
      <c r="G11" s="7"/>
      <c r="H11" s="10" t="s">
        <v>28</v>
      </c>
      <c r="I11" s="46" t="s">
        <v>6</v>
      </c>
    </row>
    <row r="13" spans="1:9" ht="30" customHeight="1" x14ac:dyDescent="0.3">
      <c r="A13" s="69" t="s">
        <v>31</v>
      </c>
      <c r="B13" s="66"/>
      <c r="C13" s="66"/>
      <c r="D13" s="66"/>
      <c r="E13" s="66"/>
      <c r="F13" s="66"/>
      <c r="G13" s="66"/>
      <c r="H13" s="66"/>
      <c r="I13" s="66"/>
    </row>
    <row r="14" spans="1:9" ht="19.95" customHeight="1" x14ac:dyDescent="0.3">
      <c r="A14" s="5" t="s">
        <v>32</v>
      </c>
      <c r="B14" s="39"/>
      <c r="C14" s="39"/>
      <c r="D14" s="39"/>
      <c r="E14" s="39"/>
      <c r="F14" s="39"/>
      <c r="G14" s="39"/>
      <c r="H14" s="39"/>
      <c r="I14" s="40"/>
    </row>
    <row r="15" spans="1:9" ht="19.95" customHeight="1" x14ac:dyDescent="0.3">
      <c r="A15" s="45" t="s">
        <v>33</v>
      </c>
      <c r="B15" s="7"/>
      <c r="C15" s="8" t="s">
        <v>34</v>
      </c>
      <c r="D15" s="41" t="s">
        <v>35</v>
      </c>
      <c r="E15" s="41" t="s">
        <v>36</v>
      </c>
      <c r="F15" s="10" t="s">
        <v>37</v>
      </c>
      <c r="G15" s="7"/>
      <c r="H15" s="10" t="s">
        <v>37</v>
      </c>
      <c r="I15" s="46" t="s">
        <v>6</v>
      </c>
    </row>
    <row r="16" spans="1:9" ht="19.95" customHeight="1" x14ac:dyDescent="0.3">
      <c r="A16" s="47" t="s">
        <v>38</v>
      </c>
      <c r="B16" s="7"/>
      <c r="C16" s="8" t="s">
        <v>39</v>
      </c>
      <c r="D16" s="42" t="s">
        <v>40</v>
      </c>
      <c r="E16" s="42" t="s">
        <v>36</v>
      </c>
      <c r="F16" s="10" t="s">
        <v>41</v>
      </c>
      <c r="G16" s="7"/>
      <c r="H16" s="10" t="s">
        <v>41</v>
      </c>
      <c r="I16" s="46" t="s">
        <v>6</v>
      </c>
    </row>
    <row r="17" spans="1:9" ht="19.95" customHeight="1" x14ac:dyDescent="0.3">
      <c r="A17" s="45" t="s">
        <v>42</v>
      </c>
      <c r="B17" s="7"/>
      <c r="C17" s="8" t="s">
        <v>43</v>
      </c>
      <c r="D17" s="41" t="s">
        <v>40</v>
      </c>
      <c r="E17" s="41" t="s">
        <v>36</v>
      </c>
      <c r="F17" s="10" t="s">
        <v>41</v>
      </c>
      <c r="G17" s="7"/>
      <c r="H17" s="10" t="s">
        <v>41</v>
      </c>
      <c r="I17" s="46" t="s">
        <v>6</v>
      </c>
    </row>
    <row r="18" spans="1:9" ht="19.95" customHeight="1" x14ac:dyDescent="0.3">
      <c r="A18" s="47" t="s">
        <v>44</v>
      </c>
      <c r="B18" s="7"/>
      <c r="C18" s="8" t="s">
        <v>45</v>
      </c>
      <c r="D18" s="42" t="s">
        <v>46</v>
      </c>
      <c r="E18" s="42" t="s">
        <v>36</v>
      </c>
      <c r="F18" s="10" t="s">
        <v>47</v>
      </c>
      <c r="G18" s="7"/>
      <c r="H18" s="10" t="s">
        <v>47</v>
      </c>
      <c r="I18" s="46" t="s">
        <v>6</v>
      </c>
    </row>
    <row r="19" spans="1:9" ht="19.95" customHeight="1" x14ac:dyDescent="0.3">
      <c r="A19" s="45" t="s">
        <v>48</v>
      </c>
      <c r="B19" s="7"/>
      <c r="C19" s="8" t="s">
        <v>49</v>
      </c>
      <c r="D19" s="41" t="s">
        <v>40</v>
      </c>
      <c r="E19" s="41" t="s">
        <v>36</v>
      </c>
      <c r="F19" s="10" t="s">
        <v>41</v>
      </c>
      <c r="G19" s="7"/>
      <c r="H19" s="10" t="s">
        <v>41</v>
      </c>
      <c r="I19" s="46" t="s">
        <v>6</v>
      </c>
    </row>
    <row r="20" spans="1:9" ht="19.95" customHeight="1" x14ac:dyDescent="0.3">
      <c r="A20" s="47" t="s">
        <v>50</v>
      </c>
      <c r="B20" s="7"/>
      <c r="C20" s="8" t="s">
        <v>51</v>
      </c>
      <c r="D20" s="42" t="s">
        <v>52</v>
      </c>
      <c r="E20" s="42" t="s">
        <v>36</v>
      </c>
      <c r="F20" s="10" t="s">
        <v>53</v>
      </c>
      <c r="G20" s="7"/>
      <c r="H20" s="10" t="s">
        <v>53</v>
      </c>
      <c r="I20" s="46" t="s">
        <v>6</v>
      </c>
    </row>
    <row r="21" spans="1:9" ht="19.95" customHeight="1" x14ac:dyDescent="0.3">
      <c r="A21" s="45" t="s">
        <v>54</v>
      </c>
      <c r="B21" s="7"/>
      <c r="C21" s="8" t="s">
        <v>55</v>
      </c>
      <c r="D21" s="41" t="s">
        <v>56</v>
      </c>
      <c r="E21" s="41" t="s">
        <v>57</v>
      </c>
      <c r="F21" s="10" t="s">
        <v>58</v>
      </c>
      <c r="G21" s="7"/>
      <c r="H21" s="10" t="s">
        <v>58</v>
      </c>
      <c r="I21" s="46" t="s">
        <v>6</v>
      </c>
    </row>
    <row r="22" spans="1:9" ht="19.95" customHeight="1" x14ac:dyDescent="0.3">
      <c r="A22" s="47" t="s">
        <v>59</v>
      </c>
      <c r="B22" s="7"/>
      <c r="C22" s="8" t="s">
        <v>60</v>
      </c>
      <c r="D22" s="42" t="s">
        <v>56</v>
      </c>
      <c r="E22" s="42" t="s">
        <v>57</v>
      </c>
      <c r="F22" s="10" t="s">
        <v>58</v>
      </c>
      <c r="G22" s="7"/>
      <c r="H22" s="10" t="s">
        <v>58</v>
      </c>
      <c r="I22" s="46" t="s">
        <v>6</v>
      </c>
    </row>
    <row r="23" spans="1:9" ht="19.95" customHeight="1" x14ac:dyDescent="0.3">
      <c r="A23" s="45" t="s">
        <v>61</v>
      </c>
      <c r="B23" s="7"/>
      <c r="C23" s="41" t="s">
        <v>62</v>
      </c>
      <c r="D23" s="41" t="s">
        <v>46</v>
      </c>
      <c r="E23" s="8" t="s">
        <v>36</v>
      </c>
      <c r="F23" s="10" t="s">
        <v>47</v>
      </c>
      <c r="G23" s="7"/>
      <c r="H23" s="10" t="s">
        <v>47</v>
      </c>
      <c r="I23" s="46" t="s">
        <v>6</v>
      </c>
    </row>
    <row r="24" spans="1:9" ht="19.95" customHeight="1" x14ac:dyDescent="0.3">
      <c r="A24" s="47" t="s">
        <v>63</v>
      </c>
      <c r="B24" s="7"/>
      <c r="C24" s="8" t="s">
        <v>64</v>
      </c>
      <c r="D24" s="42" t="s">
        <v>65</v>
      </c>
      <c r="E24" s="42" t="s">
        <v>66</v>
      </c>
      <c r="F24" s="10" t="s">
        <v>67</v>
      </c>
      <c r="G24" s="7"/>
      <c r="H24" s="10" t="s">
        <v>67</v>
      </c>
      <c r="I24" s="46" t="s">
        <v>6</v>
      </c>
    </row>
    <row r="25" spans="1:9" x14ac:dyDescent="0.3">
      <c r="A25" s="45" t="s">
        <v>68</v>
      </c>
      <c r="B25" s="7"/>
      <c r="C25" s="8" t="s">
        <v>69</v>
      </c>
      <c r="D25" s="41" t="s">
        <v>70</v>
      </c>
      <c r="E25" s="41" t="s">
        <v>66</v>
      </c>
      <c r="F25" s="10" t="s">
        <v>71</v>
      </c>
      <c r="G25" s="7"/>
      <c r="H25" s="10" t="s">
        <v>71</v>
      </c>
      <c r="I25" s="46" t="s">
        <v>6</v>
      </c>
    </row>
    <row r="26" spans="1:9" ht="22.05" customHeight="1" x14ac:dyDescent="0.3">
      <c r="A26" s="66"/>
      <c r="B26" s="66"/>
      <c r="C26" s="66"/>
      <c r="D26" s="66"/>
      <c r="E26" s="66"/>
      <c r="F26" s="66"/>
      <c r="G26" s="66"/>
      <c r="H26" s="66"/>
      <c r="I26" s="66"/>
    </row>
    <row r="27" spans="1:9" ht="19.95" customHeight="1" x14ac:dyDescent="0.3">
      <c r="A27" s="5" t="s">
        <v>72</v>
      </c>
      <c r="B27" s="39"/>
      <c r="C27" s="39"/>
      <c r="D27" s="39"/>
      <c r="E27" s="39"/>
      <c r="F27" s="39"/>
      <c r="G27" s="39"/>
      <c r="H27" s="39"/>
      <c r="I27" s="40"/>
    </row>
    <row r="28" spans="1:9" ht="19.95" customHeight="1" x14ac:dyDescent="0.3">
      <c r="A28" s="45" t="s">
        <v>73</v>
      </c>
      <c r="B28" s="7"/>
      <c r="C28" s="8" t="s">
        <v>74</v>
      </c>
      <c r="D28" s="41" t="s">
        <v>75</v>
      </c>
      <c r="E28" s="41" t="s">
        <v>76</v>
      </c>
      <c r="F28" s="10" t="s">
        <v>77</v>
      </c>
      <c r="G28" s="7"/>
      <c r="H28" s="10" t="s">
        <v>77</v>
      </c>
      <c r="I28" s="46" t="s">
        <v>6</v>
      </c>
    </row>
    <row r="29" spans="1:9" x14ac:dyDescent="0.3">
      <c r="A29" s="47" t="s">
        <v>78</v>
      </c>
      <c r="B29" s="7"/>
      <c r="C29" s="8" t="s">
        <v>43</v>
      </c>
      <c r="D29" s="42" t="s">
        <v>79</v>
      </c>
      <c r="E29" s="42" t="s">
        <v>80</v>
      </c>
      <c r="F29" s="10" t="s">
        <v>81</v>
      </c>
      <c r="G29" s="7"/>
      <c r="H29" s="10" t="s">
        <v>81</v>
      </c>
      <c r="I29" s="46" t="s">
        <v>6</v>
      </c>
    </row>
    <row r="30" spans="1:9" ht="22.05" customHeight="1" x14ac:dyDescent="0.3">
      <c r="A30" s="66"/>
      <c r="B30" s="66"/>
      <c r="C30" s="66"/>
      <c r="D30" s="66"/>
      <c r="E30" s="66"/>
      <c r="F30" s="66"/>
      <c r="G30" s="66"/>
      <c r="H30" s="66"/>
      <c r="I30" s="66"/>
    </row>
    <row r="31" spans="1:9" ht="19.95" customHeight="1" x14ac:dyDescent="0.3">
      <c r="A31" s="5" t="s">
        <v>82</v>
      </c>
      <c r="B31" s="39"/>
      <c r="C31" s="39"/>
      <c r="D31" s="39"/>
      <c r="E31" s="39"/>
      <c r="F31" s="39"/>
      <c r="G31" s="39"/>
      <c r="H31" s="39"/>
      <c r="I31" s="40"/>
    </row>
    <row r="32" spans="1:9" ht="19.95" customHeight="1" x14ac:dyDescent="0.3">
      <c r="A32" s="45" t="s">
        <v>83</v>
      </c>
      <c r="B32" s="7"/>
      <c r="C32" s="15" t="s">
        <v>84</v>
      </c>
      <c r="D32" s="41" t="s">
        <v>40</v>
      </c>
      <c r="E32" s="15" t="s">
        <v>84</v>
      </c>
      <c r="F32" s="15" t="s">
        <v>84</v>
      </c>
      <c r="G32" s="7"/>
      <c r="H32" s="48" t="s">
        <v>85</v>
      </c>
      <c r="I32" s="48" t="s">
        <v>85</v>
      </c>
    </row>
    <row r="33" spans="1:9" ht="19.95" customHeight="1" x14ac:dyDescent="0.3">
      <c r="A33" s="47" t="s">
        <v>86</v>
      </c>
      <c r="B33" s="7"/>
      <c r="C33" s="15" t="s">
        <v>84</v>
      </c>
      <c r="D33" s="15" t="s">
        <v>84</v>
      </c>
      <c r="E33" s="42" t="s">
        <v>36</v>
      </c>
      <c r="F33" s="15" t="s">
        <v>84</v>
      </c>
      <c r="G33" s="7"/>
      <c r="H33" s="48" t="s">
        <v>85</v>
      </c>
      <c r="I33" s="48" t="s">
        <v>85</v>
      </c>
    </row>
    <row r="34" spans="1:9" ht="19.95" customHeight="1" x14ac:dyDescent="0.3">
      <c r="A34" s="45" t="s">
        <v>87</v>
      </c>
      <c r="B34" s="7"/>
      <c r="C34" s="15" t="s">
        <v>84</v>
      </c>
      <c r="D34" s="15" t="s">
        <v>84</v>
      </c>
      <c r="E34" s="8" t="s">
        <v>76</v>
      </c>
      <c r="F34" s="10" t="s">
        <v>77</v>
      </c>
      <c r="G34" s="7"/>
      <c r="H34" s="10" t="s">
        <v>77</v>
      </c>
      <c r="I34" s="46" t="s">
        <v>6</v>
      </c>
    </row>
    <row r="35" spans="1:9" ht="19.95" customHeight="1" x14ac:dyDescent="0.3">
      <c r="A35" s="47" t="s">
        <v>88</v>
      </c>
      <c r="B35" s="7"/>
      <c r="C35" s="8" t="s">
        <v>89</v>
      </c>
      <c r="D35" s="10" t="s">
        <v>90</v>
      </c>
      <c r="E35" s="15" t="s">
        <v>84</v>
      </c>
      <c r="F35" s="42" t="s">
        <v>91</v>
      </c>
      <c r="G35" s="7"/>
      <c r="H35" s="10" t="s">
        <v>90</v>
      </c>
      <c r="I35" s="14" t="s">
        <v>4</v>
      </c>
    </row>
    <row r="36" spans="1:9" ht="19.95" customHeight="1" x14ac:dyDescent="0.3">
      <c r="A36" s="45" t="s">
        <v>92</v>
      </c>
      <c r="B36" s="7"/>
      <c r="C36" s="8" t="s">
        <v>93</v>
      </c>
      <c r="D36" s="10" t="s">
        <v>94</v>
      </c>
      <c r="E36" s="15" t="s">
        <v>84</v>
      </c>
      <c r="F36" s="41" t="s">
        <v>94</v>
      </c>
      <c r="G36" s="7"/>
      <c r="H36" s="10" t="s">
        <v>94</v>
      </c>
      <c r="I36" s="14" t="s">
        <v>4</v>
      </c>
    </row>
    <row r="37" spans="1:9" x14ac:dyDescent="0.3">
      <c r="A37" s="47" t="s">
        <v>95</v>
      </c>
      <c r="B37" s="7"/>
      <c r="C37" s="15" t="s">
        <v>84</v>
      </c>
      <c r="D37" s="42" t="s">
        <v>96</v>
      </c>
      <c r="E37" s="42" t="s">
        <v>97</v>
      </c>
      <c r="F37" s="42" t="s">
        <v>98</v>
      </c>
      <c r="G37" s="7"/>
      <c r="H37" s="48" t="s">
        <v>85</v>
      </c>
      <c r="I37" s="48" t="s">
        <v>85</v>
      </c>
    </row>
    <row r="39" spans="1:9" x14ac:dyDescent="0.3">
      <c r="A39" s="66"/>
      <c r="B39" s="66"/>
      <c r="C39" s="66"/>
      <c r="D39" s="66"/>
      <c r="E39" s="66"/>
      <c r="F39" s="66"/>
      <c r="G39" s="66"/>
      <c r="H39" s="66"/>
      <c r="I39" s="66"/>
    </row>
    <row r="40" spans="1:9" ht="18" customHeight="1" x14ac:dyDescent="0.3">
      <c r="A40" s="65" t="s">
        <v>99</v>
      </c>
      <c r="B40" s="66"/>
      <c r="C40" s="66"/>
      <c r="D40" s="66"/>
      <c r="E40" s="66"/>
      <c r="F40" s="66"/>
      <c r="G40" s="66"/>
      <c r="H40" s="66"/>
      <c r="I40" s="66"/>
    </row>
    <row r="41" spans="1:9" ht="18" customHeight="1" x14ac:dyDescent="0.3">
      <c r="A41" s="68" t="s">
        <v>100</v>
      </c>
      <c r="B41" s="62"/>
      <c r="C41" s="62"/>
      <c r="D41" s="62"/>
      <c r="E41" s="62"/>
      <c r="F41" s="62"/>
      <c r="G41" s="62"/>
      <c r="H41" s="62"/>
      <c r="I41" s="63"/>
    </row>
    <row r="42" spans="1:9" ht="18" customHeight="1" x14ac:dyDescent="0.3">
      <c r="A42" s="64" t="s">
        <v>101</v>
      </c>
      <c r="B42" s="62"/>
      <c r="C42" s="62"/>
      <c r="D42" s="62"/>
      <c r="E42" s="62"/>
      <c r="F42" s="62"/>
      <c r="G42" s="62"/>
      <c r="H42" s="62"/>
      <c r="I42" s="63"/>
    </row>
    <row r="43" spans="1:9" x14ac:dyDescent="0.3">
      <c r="A43" s="17" t="s">
        <v>102</v>
      </c>
      <c r="B43" s="39"/>
      <c r="C43" s="39"/>
      <c r="D43" s="39"/>
      <c r="E43" s="39"/>
      <c r="F43" s="39"/>
      <c r="G43" s="39"/>
      <c r="H43" s="39"/>
      <c r="I43" s="40"/>
    </row>
  </sheetData>
  <mergeCells count="10">
    <mergeCell ref="A1:I1"/>
    <mergeCell ref="A39:I39"/>
    <mergeCell ref="A26:I26"/>
    <mergeCell ref="A30:I30"/>
    <mergeCell ref="A6:I6"/>
    <mergeCell ref="A42:I42"/>
    <mergeCell ref="A40:I40"/>
    <mergeCell ref="A2:I2"/>
    <mergeCell ref="A41:I41"/>
    <mergeCell ref="A13:I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showGridLines="0" workbookViewId="0">
      <selection activeCell="E11" sqref="E11"/>
    </sheetView>
  </sheetViews>
  <sheetFormatPr defaultRowHeight="14.4" x14ac:dyDescent="0.3"/>
  <cols>
    <col min="1" max="1" width="30" customWidth="1"/>
    <col min="2" max="2" width="5" customWidth="1"/>
    <col min="3" max="6" width="16" customWidth="1"/>
    <col min="7" max="7" width="5" customWidth="1"/>
    <col min="8" max="8" width="16" customWidth="1"/>
    <col min="9" max="9" width="20" customWidth="1"/>
  </cols>
  <sheetData>
    <row r="1" spans="1:9" ht="34.049999999999997" customHeight="1" x14ac:dyDescent="0.3">
      <c r="A1" s="74" t="s">
        <v>103</v>
      </c>
      <c r="B1" s="66"/>
      <c r="C1" s="66"/>
      <c r="D1" s="66"/>
      <c r="E1" s="66"/>
      <c r="F1" s="66"/>
      <c r="G1" s="66"/>
      <c r="H1" s="66"/>
      <c r="I1" s="66"/>
    </row>
    <row r="2" spans="1:9" ht="19.95" customHeight="1" x14ac:dyDescent="0.3">
      <c r="A2" s="75"/>
      <c r="B2" s="66"/>
      <c r="C2" s="66"/>
      <c r="D2" s="66"/>
      <c r="E2" s="66"/>
      <c r="F2" s="66"/>
      <c r="G2" s="66"/>
      <c r="H2" s="66"/>
      <c r="I2" s="66"/>
    </row>
    <row r="3" spans="1:9" ht="19.95" customHeight="1" x14ac:dyDescent="0.3">
      <c r="A3" s="71" t="s">
        <v>104</v>
      </c>
      <c r="B3" s="66"/>
      <c r="C3" s="66"/>
      <c r="D3" s="66"/>
      <c r="E3" s="66"/>
      <c r="F3" s="66"/>
      <c r="G3" s="66"/>
      <c r="H3" s="66"/>
      <c r="I3" s="66"/>
    </row>
    <row r="4" spans="1:9" ht="22.05" customHeight="1" x14ac:dyDescent="0.3">
      <c r="A4" s="55" t="s">
        <v>105</v>
      </c>
      <c r="B4" s="56"/>
      <c r="C4" s="55" t="s">
        <v>3</v>
      </c>
      <c r="D4" s="55" t="s">
        <v>4</v>
      </c>
      <c r="E4" s="55" t="s">
        <v>5</v>
      </c>
      <c r="F4" s="46" t="s">
        <v>6</v>
      </c>
      <c r="G4" s="56"/>
      <c r="H4" s="55" t="s">
        <v>106</v>
      </c>
      <c r="I4" s="55" t="s">
        <v>107</v>
      </c>
    </row>
    <row r="5" spans="1:9" ht="18" customHeight="1" x14ac:dyDescent="0.3">
      <c r="A5" s="6" t="s">
        <v>108</v>
      </c>
      <c r="B5" s="7"/>
      <c r="C5" s="9" t="s">
        <v>109</v>
      </c>
      <c r="D5" s="9" t="s">
        <v>109</v>
      </c>
      <c r="E5" s="9" t="s">
        <v>110</v>
      </c>
      <c r="F5" s="9" t="s">
        <v>111</v>
      </c>
      <c r="G5" s="7"/>
      <c r="H5" s="9" t="s">
        <v>112</v>
      </c>
      <c r="I5" s="57" t="s">
        <v>113</v>
      </c>
    </row>
    <row r="6" spans="1:9" ht="18" customHeight="1" x14ac:dyDescent="0.3">
      <c r="A6" s="12" t="s">
        <v>114</v>
      </c>
      <c r="B6" s="7"/>
      <c r="C6" s="13" t="s">
        <v>115</v>
      </c>
      <c r="D6" s="13" t="s">
        <v>115</v>
      </c>
      <c r="E6" s="13" t="s">
        <v>110</v>
      </c>
      <c r="F6" s="13" t="s">
        <v>116</v>
      </c>
      <c r="G6" s="7"/>
      <c r="H6" s="13"/>
      <c r="I6" s="58" t="s">
        <v>117</v>
      </c>
    </row>
    <row r="7" spans="1:9" ht="18" customHeight="1" x14ac:dyDescent="0.3">
      <c r="A7" s="6" t="s">
        <v>118</v>
      </c>
      <c r="B7" s="7"/>
      <c r="C7" s="9" t="s">
        <v>109</v>
      </c>
      <c r="D7" s="9" t="s">
        <v>109</v>
      </c>
      <c r="E7" s="9" t="s">
        <v>110</v>
      </c>
      <c r="F7" s="9" t="s">
        <v>111</v>
      </c>
      <c r="G7" s="7"/>
      <c r="H7" s="9"/>
      <c r="I7" s="57" t="e">
        <f>base rate</f>
        <v>#NAME?</v>
      </c>
    </row>
    <row r="8" spans="1:9" ht="18" customHeight="1" x14ac:dyDescent="0.3">
      <c r="A8" s="12" t="s">
        <v>119</v>
      </c>
      <c r="B8" s="7"/>
      <c r="C8" s="13" t="s">
        <v>109</v>
      </c>
      <c r="D8" s="13" t="s">
        <v>109</v>
      </c>
      <c r="E8" s="13" t="s">
        <v>110</v>
      </c>
      <c r="F8" s="13" t="s">
        <v>111</v>
      </c>
      <c r="G8" s="7"/>
      <c r="H8" s="13"/>
      <c r="I8" s="58" t="e">
        <f>base rate</f>
        <v>#NAME?</v>
      </c>
    </row>
    <row r="9" spans="1:9" ht="18" customHeight="1" x14ac:dyDescent="0.3">
      <c r="A9" s="6" t="s">
        <v>120</v>
      </c>
      <c r="B9" s="7"/>
      <c r="C9" s="9" t="s">
        <v>109</v>
      </c>
      <c r="D9" s="9" t="s">
        <v>109</v>
      </c>
      <c r="E9" s="9" t="s">
        <v>110</v>
      </c>
      <c r="F9" s="9" t="s">
        <v>111</v>
      </c>
      <c r="G9" s="7"/>
      <c r="H9" s="9"/>
      <c r="I9" s="57" t="e">
        <f>base rate</f>
        <v>#NAME?</v>
      </c>
    </row>
    <row r="10" spans="1:9" ht="18" customHeight="1" x14ac:dyDescent="0.3">
      <c r="A10" s="12" t="s">
        <v>121</v>
      </c>
      <c r="B10" s="7"/>
      <c r="C10" s="13" t="s">
        <v>122</v>
      </c>
      <c r="D10" s="13" t="s">
        <v>122</v>
      </c>
      <c r="E10" s="13" t="s">
        <v>110</v>
      </c>
      <c r="F10" s="13" t="s">
        <v>123</v>
      </c>
      <c r="G10" s="7"/>
      <c r="H10" s="13"/>
      <c r="I10" s="58" t="e">
        <f>1 - base rate</f>
        <v>#NAME?</v>
      </c>
    </row>
    <row r="12" spans="1:9" ht="19.95" customHeight="1" x14ac:dyDescent="0.3">
      <c r="A12" s="71" t="s">
        <v>349</v>
      </c>
      <c r="B12" s="66"/>
      <c r="C12" s="66"/>
      <c r="D12" s="66"/>
      <c r="E12" s="66"/>
      <c r="F12" s="66"/>
      <c r="G12" s="66"/>
      <c r="H12" s="66"/>
      <c r="I12" s="66"/>
    </row>
    <row r="13" spans="1:9" ht="22.05" customHeight="1" x14ac:dyDescent="0.3">
      <c r="A13" s="55" t="s">
        <v>105</v>
      </c>
      <c r="B13" s="56"/>
      <c r="C13" s="55" t="s">
        <v>3</v>
      </c>
      <c r="D13" s="55" t="s">
        <v>4</v>
      </c>
      <c r="E13" s="55" t="s">
        <v>5</v>
      </c>
      <c r="F13" s="46" t="s">
        <v>6</v>
      </c>
      <c r="G13" s="56"/>
      <c r="H13" s="55" t="s">
        <v>124</v>
      </c>
      <c r="I13" s="55" t="s">
        <v>125</v>
      </c>
    </row>
    <row r="14" spans="1:9" ht="18" customHeight="1" x14ac:dyDescent="0.3">
      <c r="A14" s="45" t="s">
        <v>126</v>
      </c>
      <c r="B14" s="7"/>
      <c r="C14" s="9" t="s">
        <v>127</v>
      </c>
      <c r="D14" s="9" t="s">
        <v>128</v>
      </c>
      <c r="E14" s="10" t="s">
        <v>129</v>
      </c>
      <c r="F14" s="9" t="s">
        <v>130</v>
      </c>
      <c r="G14" s="7"/>
      <c r="H14" s="11" t="s">
        <v>5</v>
      </c>
      <c r="I14" s="59" t="s">
        <v>131</v>
      </c>
    </row>
    <row r="15" spans="1:9" ht="18" customHeight="1" x14ac:dyDescent="0.3">
      <c r="A15" s="47" t="s">
        <v>132</v>
      </c>
      <c r="B15" s="7"/>
      <c r="C15" s="13" t="s">
        <v>133</v>
      </c>
      <c r="D15" s="10" t="s">
        <v>134</v>
      </c>
      <c r="E15" s="13" t="s">
        <v>129</v>
      </c>
      <c r="F15" s="13" t="s">
        <v>135</v>
      </c>
      <c r="G15" s="7"/>
      <c r="H15" s="14" t="s">
        <v>4</v>
      </c>
      <c r="I15" s="60" t="s">
        <v>136</v>
      </c>
    </row>
    <row r="16" spans="1:9" ht="18" customHeight="1" x14ac:dyDescent="0.3">
      <c r="A16" s="45" t="s">
        <v>137</v>
      </c>
      <c r="B16" s="7"/>
      <c r="C16" s="9" t="s">
        <v>138</v>
      </c>
      <c r="D16" s="10" t="s">
        <v>134</v>
      </c>
      <c r="E16" s="9" t="s">
        <v>129</v>
      </c>
      <c r="F16" s="9" t="s">
        <v>135</v>
      </c>
      <c r="G16" s="7"/>
      <c r="H16" s="14" t="s">
        <v>4</v>
      </c>
      <c r="I16" s="59" t="s">
        <v>139</v>
      </c>
    </row>
    <row r="17" spans="1:9" ht="18" customHeight="1" x14ac:dyDescent="0.3">
      <c r="A17" s="47" t="s">
        <v>140</v>
      </c>
      <c r="B17" s="7"/>
      <c r="C17" s="13" t="s">
        <v>141</v>
      </c>
      <c r="D17" s="10" t="s">
        <v>134</v>
      </c>
      <c r="E17" s="13" t="s">
        <v>129</v>
      </c>
      <c r="F17" s="13" t="s">
        <v>135</v>
      </c>
      <c r="G17" s="7"/>
      <c r="H17" s="14" t="s">
        <v>4</v>
      </c>
      <c r="I17" s="60" t="s">
        <v>142</v>
      </c>
    </row>
    <row r="18" spans="1:9" ht="18" customHeight="1" x14ac:dyDescent="0.3">
      <c r="A18" s="45" t="s">
        <v>143</v>
      </c>
      <c r="B18" s="7"/>
      <c r="C18" s="9" t="s">
        <v>144</v>
      </c>
      <c r="D18" s="9" t="s">
        <v>145</v>
      </c>
      <c r="E18" s="10" t="s">
        <v>129</v>
      </c>
      <c r="F18" s="9" t="s">
        <v>146</v>
      </c>
      <c r="G18" s="7"/>
      <c r="H18" s="11" t="s">
        <v>5</v>
      </c>
      <c r="I18" s="59" t="s">
        <v>147</v>
      </c>
    </row>
    <row r="19" spans="1:9" ht="18" customHeight="1" x14ac:dyDescent="0.3">
      <c r="A19" s="47" t="s">
        <v>148</v>
      </c>
      <c r="B19" s="7"/>
      <c r="C19" s="13" t="s">
        <v>144</v>
      </c>
      <c r="D19" s="13" t="s">
        <v>145</v>
      </c>
      <c r="E19" s="10" t="s">
        <v>129</v>
      </c>
      <c r="F19" s="13" t="s">
        <v>146</v>
      </c>
      <c r="G19" s="7"/>
      <c r="H19" s="11" t="s">
        <v>5</v>
      </c>
      <c r="I19" s="60" t="s">
        <v>149</v>
      </c>
    </row>
    <row r="20" spans="1:9" ht="18" customHeight="1" x14ac:dyDescent="0.3">
      <c r="A20" s="45" t="s">
        <v>150</v>
      </c>
      <c r="B20" s="7"/>
      <c r="C20" s="9" t="s">
        <v>138</v>
      </c>
      <c r="D20" s="10" t="s">
        <v>134</v>
      </c>
      <c r="E20" s="9" t="s">
        <v>129</v>
      </c>
      <c r="F20" s="9" t="s">
        <v>135</v>
      </c>
      <c r="G20" s="7"/>
      <c r="H20" s="14" t="s">
        <v>4</v>
      </c>
      <c r="I20" s="59" t="s">
        <v>151</v>
      </c>
    </row>
    <row r="22" spans="1:9" ht="19.95" customHeight="1" x14ac:dyDescent="0.3">
      <c r="A22" s="71" t="s">
        <v>152</v>
      </c>
      <c r="B22" s="66"/>
      <c r="C22" s="66"/>
      <c r="D22" s="66"/>
      <c r="E22" s="66"/>
      <c r="F22" s="66"/>
      <c r="G22" s="66"/>
      <c r="H22" s="66"/>
      <c r="I22" s="66"/>
    </row>
    <row r="23" spans="1:9" ht="18" customHeight="1" x14ac:dyDescent="0.3">
      <c r="A23" s="45" t="s">
        <v>54</v>
      </c>
      <c r="B23" s="7"/>
      <c r="C23" s="9" t="s">
        <v>55</v>
      </c>
      <c r="D23" s="9" t="s">
        <v>56</v>
      </c>
      <c r="E23" s="9" t="s">
        <v>57</v>
      </c>
      <c r="F23" s="10" t="s">
        <v>58</v>
      </c>
      <c r="G23" s="7"/>
      <c r="H23" s="46" t="s">
        <v>6</v>
      </c>
      <c r="I23" s="59" t="s">
        <v>153</v>
      </c>
    </row>
    <row r="24" spans="1:9" ht="18" customHeight="1" x14ac:dyDescent="0.3">
      <c r="A24" s="47" t="s">
        <v>59</v>
      </c>
      <c r="B24" s="7"/>
      <c r="C24" s="13" t="s">
        <v>60</v>
      </c>
      <c r="D24" s="13" t="s">
        <v>56</v>
      </c>
      <c r="E24" s="13" t="s">
        <v>57</v>
      </c>
      <c r="F24" s="10" t="s">
        <v>58</v>
      </c>
      <c r="G24" s="7"/>
      <c r="H24" s="46" t="s">
        <v>6</v>
      </c>
      <c r="I24" s="60" t="s">
        <v>154</v>
      </c>
    </row>
    <row r="25" spans="1:9" ht="18" customHeight="1" x14ac:dyDescent="0.3">
      <c r="A25" s="45" t="s">
        <v>155</v>
      </c>
      <c r="B25" s="7"/>
      <c r="C25" s="9" t="s">
        <v>74</v>
      </c>
      <c r="D25" s="9" t="s">
        <v>75</v>
      </c>
      <c r="E25" s="9" t="s">
        <v>76</v>
      </c>
      <c r="F25" s="10" t="s">
        <v>77</v>
      </c>
      <c r="G25" s="7"/>
      <c r="H25" s="46" t="s">
        <v>6</v>
      </c>
      <c r="I25" s="59" t="s">
        <v>156</v>
      </c>
    </row>
    <row r="26" spans="1:9" ht="18" customHeight="1" x14ac:dyDescent="0.3">
      <c r="A26" s="47" t="s">
        <v>157</v>
      </c>
      <c r="B26" s="7"/>
      <c r="C26" s="13" t="s">
        <v>43</v>
      </c>
      <c r="D26" s="13" t="s">
        <v>79</v>
      </c>
      <c r="E26" s="13" t="s">
        <v>80</v>
      </c>
      <c r="F26" s="10" t="s">
        <v>81</v>
      </c>
      <c r="G26" s="7"/>
      <c r="H26" s="46" t="s">
        <v>6</v>
      </c>
      <c r="I26" s="60" t="s">
        <v>158</v>
      </c>
    </row>
    <row r="28" spans="1:9" ht="19.95" customHeight="1" x14ac:dyDescent="0.3">
      <c r="A28" s="71" t="s">
        <v>159</v>
      </c>
      <c r="B28" s="66"/>
      <c r="C28" s="66"/>
      <c r="D28" s="66"/>
      <c r="E28" s="66"/>
      <c r="F28" s="66"/>
      <c r="G28" s="66"/>
      <c r="H28" s="66"/>
      <c r="I28" s="66"/>
    </row>
    <row r="29" spans="1:9" ht="30" customHeight="1" x14ac:dyDescent="0.3">
      <c r="A29" s="73" t="s">
        <v>160</v>
      </c>
      <c r="B29" s="66"/>
      <c r="C29" s="66"/>
      <c r="D29" s="66"/>
      <c r="E29" s="66"/>
      <c r="F29" s="66"/>
      <c r="G29" s="66"/>
      <c r="H29" s="66"/>
      <c r="I29" s="66"/>
    </row>
    <row r="30" spans="1:9" ht="30" customHeight="1" x14ac:dyDescent="0.3">
      <c r="A30" s="72" t="s">
        <v>161</v>
      </c>
      <c r="B30" s="66"/>
      <c r="C30" s="66"/>
      <c r="D30" s="66"/>
      <c r="E30" s="66"/>
      <c r="F30" s="66"/>
      <c r="G30" s="66"/>
      <c r="H30" s="66"/>
      <c r="I30" s="66"/>
    </row>
    <row r="31" spans="1:9" ht="30" customHeight="1" x14ac:dyDescent="0.3">
      <c r="A31" s="73" t="s">
        <v>162</v>
      </c>
      <c r="B31" s="66"/>
      <c r="C31" s="66"/>
      <c r="D31" s="66"/>
      <c r="E31" s="66"/>
      <c r="F31" s="66"/>
      <c r="G31" s="66"/>
      <c r="H31" s="66"/>
      <c r="I31" s="66"/>
    </row>
    <row r="32" spans="1:9" ht="30" customHeight="1" x14ac:dyDescent="0.3">
      <c r="A32" s="72" t="s">
        <v>163</v>
      </c>
      <c r="B32" s="66"/>
      <c r="C32" s="66"/>
      <c r="D32" s="66"/>
      <c r="E32" s="66"/>
      <c r="F32" s="66"/>
      <c r="G32" s="66"/>
      <c r="H32" s="66"/>
      <c r="I32" s="66"/>
    </row>
    <row r="33" spans="1:9" ht="30" customHeight="1" x14ac:dyDescent="0.3">
      <c r="A33" s="76" t="s">
        <v>164</v>
      </c>
      <c r="B33" s="66"/>
      <c r="C33" s="66"/>
      <c r="D33" s="66"/>
      <c r="E33" s="66"/>
      <c r="F33" s="66"/>
      <c r="G33" s="66"/>
      <c r="H33" s="66"/>
      <c r="I33" s="66"/>
    </row>
  </sheetData>
  <mergeCells count="11">
    <mergeCell ref="A1:I1"/>
    <mergeCell ref="A22:I22"/>
    <mergeCell ref="A30:I30"/>
    <mergeCell ref="A2:I2"/>
    <mergeCell ref="A33:I33"/>
    <mergeCell ref="A3:I3"/>
    <mergeCell ref="A29:I29"/>
    <mergeCell ref="A28:I28"/>
    <mergeCell ref="A32:I32"/>
    <mergeCell ref="A31:I31"/>
    <mergeCell ref="A12:I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3"/>
  <sheetViews>
    <sheetView showGridLines="0" workbookViewId="0">
      <selection sqref="A1:H1"/>
    </sheetView>
  </sheetViews>
  <sheetFormatPr defaultRowHeight="14.4" x14ac:dyDescent="0.3"/>
  <cols>
    <col min="1" max="1" width="12" customWidth="1"/>
    <col min="2" max="2" width="14" customWidth="1"/>
    <col min="3" max="3" width="5" customWidth="1"/>
    <col min="4" max="8" width="14" customWidth="1"/>
  </cols>
  <sheetData>
    <row r="1" spans="1:8" ht="30" customHeight="1" x14ac:dyDescent="0.3">
      <c r="A1" s="74" t="s">
        <v>165</v>
      </c>
      <c r="B1" s="66"/>
      <c r="C1" s="66"/>
      <c r="D1" s="66"/>
      <c r="E1" s="66"/>
      <c r="F1" s="66"/>
      <c r="G1" s="66"/>
      <c r="H1" s="66"/>
    </row>
    <row r="3" spans="1:8" ht="25.95" customHeight="1" x14ac:dyDescent="0.3">
      <c r="A3" s="78" t="s">
        <v>166</v>
      </c>
      <c r="B3" s="66"/>
      <c r="C3" s="66"/>
      <c r="D3" s="66"/>
      <c r="E3" s="66"/>
      <c r="F3" s="66"/>
      <c r="G3" s="66"/>
      <c r="H3" s="66"/>
    </row>
    <row r="4" spans="1:8" ht="22.05" customHeight="1" x14ac:dyDescent="0.3">
      <c r="A4" s="16" t="s">
        <v>167</v>
      </c>
      <c r="B4" s="16" t="s">
        <v>105</v>
      </c>
      <c r="C4" s="16"/>
      <c r="D4" s="16" t="s">
        <v>168</v>
      </c>
      <c r="E4" s="16" t="s">
        <v>169</v>
      </c>
      <c r="F4" s="16"/>
      <c r="G4" s="16"/>
      <c r="H4" s="16"/>
    </row>
    <row r="5" spans="1:8" x14ac:dyDescent="0.3">
      <c r="A5" s="18" t="s">
        <v>170</v>
      </c>
      <c r="B5" s="19" t="s">
        <v>171</v>
      </c>
      <c r="D5" s="20" t="s">
        <v>172</v>
      </c>
    </row>
    <row r="6" spans="1:8" x14ac:dyDescent="0.3">
      <c r="A6" s="21"/>
      <c r="B6" s="22" t="s">
        <v>173</v>
      </c>
      <c r="D6" s="23" t="s">
        <v>174</v>
      </c>
    </row>
    <row r="7" spans="1:8" x14ac:dyDescent="0.3">
      <c r="A7" s="24"/>
      <c r="B7" s="19" t="s">
        <v>175</v>
      </c>
      <c r="D7" s="20" t="s">
        <v>176</v>
      </c>
    </row>
    <row r="8" spans="1:8" x14ac:dyDescent="0.3">
      <c r="A8" s="21"/>
      <c r="B8" s="22" t="s">
        <v>177</v>
      </c>
      <c r="D8" s="23" t="s">
        <v>178</v>
      </c>
    </row>
    <row r="9" spans="1:8" x14ac:dyDescent="0.3">
      <c r="A9" s="24"/>
      <c r="B9" s="19" t="s">
        <v>179</v>
      </c>
      <c r="D9" s="20" t="s">
        <v>180</v>
      </c>
    </row>
    <row r="10" spans="1:8" x14ac:dyDescent="0.3">
      <c r="A10" s="18" t="s">
        <v>181</v>
      </c>
      <c r="B10" s="19" t="s">
        <v>171</v>
      </c>
      <c r="D10" s="20" t="s">
        <v>182</v>
      </c>
    </row>
    <row r="11" spans="1:8" x14ac:dyDescent="0.3">
      <c r="A11" s="21"/>
      <c r="B11" s="22" t="s">
        <v>173</v>
      </c>
      <c r="D11" s="23" t="s">
        <v>183</v>
      </c>
    </row>
    <row r="12" spans="1:8" x14ac:dyDescent="0.3">
      <c r="A12" s="24"/>
      <c r="B12" s="19" t="s">
        <v>175</v>
      </c>
      <c r="D12" s="20" t="s">
        <v>184</v>
      </c>
    </row>
    <row r="13" spans="1:8" x14ac:dyDescent="0.3">
      <c r="A13" s="21"/>
      <c r="B13" s="22" t="s">
        <v>177</v>
      </c>
      <c r="D13" s="23" t="s">
        <v>185</v>
      </c>
    </row>
    <row r="14" spans="1:8" x14ac:dyDescent="0.3">
      <c r="A14" s="24"/>
      <c r="B14" s="19" t="s">
        <v>179</v>
      </c>
      <c r="D14" s="20" t="s">
        <v>186</v>
      </c>
    </row>
    <row r="15" spans="1:8" x14ac:dyDescent="0.3">
      <c r="A15" s="18" t="s">
        <v>187</v>
      </c>
      <c r="B15" s="19" t="s">
        <v>171</v>
      </c>
      <c r="D15" s="20" t="s">
        <v>188</v>
      </c>
    </row>
    <row r="16" spans="1:8" x14ac:dyDescent="0.3">
      <c r="A16" s="21"/>
      <c r="B16" s="22" t="s">
        <v>173</v>
      </c>
      <c r="D16" s="23" t="s">
        <v>189</v>
      </c>
    </row>
    <row r="17" spans="1:8" x14ac:dyDescent="0.3">
      <c r="A17" s="24"/>
      <c r="B17" s="19" t="s">
        <v>175</v>
      </c>
      <c r="D17" s="20" t="s">
        <v>190</v>
      </c>
    </row>
    <row r="18" spans="1:8" x14ac:dyDescent="0.3">
      <c r="A18" s="21"/>
      <c r="B18" s="22" t="s">
        <v>177</v>
      </c>
      <c r="D18" s="23" t="s">
        <v>191</v>
      </c>
    </row>
    <row r="19" spans="1:8" x14ac:dyDescent="0.3">
      <c r="A19" s="24"/>
      <c r="B19" s="19" t="s">
        <v>179</v>
      </c>
      <c r="D19" s="20" t="s">
        <v>192</v>
      </c>
    </row>
    <row r="20" spans="1:8" x14ac:dyDescent="0.3">
      <c r="A20" s="18" t="s">
        <v>193</v>
      </c>
      <c r="B20" s="19" t="s">
        <v>171</v>
      </c>
      <c r="D20" s="20" t="s">
        <v>194</v>
      </c>
    </row>
    <row r="21" spans="1:8" x14ac:dyDescent="0.3">
      <c r="A21" s="21"/>
      <c r="B21" s="22" t="s">
        <v>173</v>
      </c>
      <c r="D21" s="23" t="s">
        <v>195</v>
      </c>
    </row>
    <row r="22" spans="1:8" x14ac:dyDescent="0.3">
      <c r="A22" s="24"/>
      <c r="B22" s="19" t="s">
        <v>175</v>
      </c>
      <c r="D22" s="20" t="s">
        <v>196</v>
      </c>
    </row>
    <row r="23" spans="1:8" x14ac:dyDescent="0.3">
      <c r="A23" s="21"/>
      <c r="B23" s="22" t="s">
        <v>177</v>
      </c>
      <c r="D23" s="23" t="s">
        <v>197</v>
      </c>
    </row>
    <row r="24" spans="1:8" x14ac:dyDescent="0.3">
      <c r="A24" s="24"/>
      <c r="B24" s="19" t="s">
        <v>179</v>
      </c>
      <c r="D24" s="20" t="s">
        <v>198</v>
      </c>
    </row>
    <row r="26" spans="1:8" ht="25.95" customHeight="1" x14ac:dyDescent="0.3">
      <c r="A26" s="77" t="s">
        <v>199</v>
      </c>
      <c r="B26" s="66"/>
      <c r="C26" s="66"/>
      <c r="D26" s="66"/>
      <c r="E26" s="66"/>
      <c r="F26" s="66"/>
      <c r="G26" s="66"/>
      <c r="H26" s="66"/>
    </row>
    <row r="27" spans="1:8" ht="22.05" customHeight="1" x14ac:dyDescent="0.3">
      <c r="A27" s="16" t="s">
        <v>167</v>
      </c>
      <c r="B27" s="16" t="s">
        <v>105</v>
      </c>
      <c r="C27" s="16"/>
      <c r="D27" s="16" t="s">
        <v>168</v>
      </c>
      <c r="E27" s="16" t="s">
        <v>169</v>
      </c>
      <c r="F27" s="16"/>
      <c r="G27" s="16"/>
      <c r="H27" s="16"/>
    </row>
    <row r="28" spans="1:8" x14ac:dyDescent="0.3">
      <c r="A28" s="18" t="s">
        <v>170</v>
      </c>
      <c r="B28" s="19" t="s">
        <v>171</v>
      </c>
      <c r="D28" s="25" t="s">
        <v>84</v>
      </c>
    </row>
    <row r="29" spans="1:8" x14ac:dyDescent="0.3">
      <c r="A29" s="21"/>
      <c r="B29" s="22" t="s">
        <v>173</v>
      </c>
      <c r="D29" s="23" t="s">
        <v>200</v>
      </c>
    </row>
    <row r="30" spans="1:8" x14ac:dyDescent="0.3">
      <c r="A30" s="24"/>
      <c r="B30" s="19" t="s">
        <v>175</v>
      </c>
      <c r="D30" s="20" t="s">
        <v>201</v>
      </c>
    </row>
    <row r="31" spans="1:8" x14ac:dyDescent="0.3">
      <c r="A31" s="21"/>
      <c r="B31" s="22" t="s">
        <v>177</v>
      </c>
      <c r="D31" s="25" t="s">
        <v>84</v>
      </c>
    </row>
    <row r="32" spans="1:8" x14ac:dyDescent="0.3">
      <c r="A32" s="24"/>
      <c r="B32" s="19" t="s">
        <v>179</v>
      </c>
      <c r="D32" s="20" t="s">
        <v>202</v>
      </c>
    </row>
    <row r="33" spans="1:4" x14ac:dyDescent="0.3">
      <c r="A33" s="18" t="s">
        <v>181</v>
      </c>
      <c r="B33" s="19" t="s">
        <v>171</v>
      </c>
      <c r="D33" s="25" t="s">
        <v>84</v>
      </c>
    </row>
    <row r="34" spans="1:4" x14ac:dyDescent="0.3">
      <c r="A34" s="21"/>
      <c r="B34" s="22" t="s">
        <v>173</v>
      </c>
      <c r="D34" s="23" t="s">
        <v>203</v>
      </c>
    </row>
    <row r="35" spans="1:4" x14ac:dyDescent="0.3">
      <c r="A35" s="24"/>
      <c r="B35" s="19" t="s">
        <v>175</v>
      </c>
      <c r="D35" s="20" t="s">
        <v>204</v>
      </c>
    </row>
    <row r="36" spans="1:4" x14ac:dyDescent="0.3">
      <c r="A36" s="21"/>
      <c r="B36" s="22" t="s">
        <v>177</v>
      </c>
      <c r="D36" s="25" t="s">
        <v>84</v>
      </c>
    </row>
    <row r="37" spans="1:4" x14ac:dyDescent="0.3">
      <c r="A37" s="24"/>
      <c r="B37" s="19" t="s">
        <v>179</v>
      </c>
      <c r="D37" s="20" t="s">
        <v>205</v>
      </c>
    </row>
    <row r="38" spans="1:4" x14ac:dyDescent="0.3">
      <c r="A38" s="18" t="s">
        <v>187</v>
      </c>
      <c r="B38" s="19" t="s">
        <v>171</v>
      </c>
      <c r="D38" s="25" t="s">
        <v>84</v>
      </c>
    </row>
    <row r="39" spans="1:4" x14ac:dyDescent="0.3">
      <c r="A39" s="21"/>
      <c r="B39" s="22" t="s">
        <v>173</v>
      </c>
      <c r="D39" s="23" t="s">
        <v>206</v>
      </c>
    </row>
    <row r="40" spans="1:4" x14ac:dyDescent="0.3">
      <c r="A40" s="24"/>
      <c r="B40" s="19" t="s">
        <v>175</v>
      </c>
      <c r="D40" s="20" t="s">
        <v>207</v>
      </c>
    </row>
    <row r="41" spans="1:4" x14ac:dyDescent="0.3">
      <c r="A41" s="21"/>
      <c r="B41" s="22" t="s">
        <v>177</v>
      </c>
      <c r="D41" s="25" t="s">
        <v>84</v>
      </c>
    </row>
    <row r="42" spans="1:4" x14ac:dyDescent="0.3">
      <c r="A42" s="24"/>
      <c r="B42" s="19" t="s">
        <v>179</v>
      </c>
      <c r="D42" s="20" t="s">
        <v>208</v>
      </c>
    </row>
    <row r="43" spans="1:4" x14ac:dyDescent="0.3">
      <c r="A43" s="18" t="s">
        <v>193</v>
      </c>
      <c r="B43" s="19" t="s">
        <v>171</v>
      </c>
      <c r="D43" s="25" t="s">
        <v>84</v>
      </c>
    </row>
    <row r="44" spans="1:4" x14ac:dyDescent="0.3">
      <c r="A44" s="21"/>
      <c r="B44" s="22" t="s">
        <v>173</v>
      </c>
      <c r="D44" s="23" t="s">
        <v>209</v>
      </c>
    </row>
    <row r="45" spans="1:4" x14ac:dyDescent="0.3">
      <c r="A45" s="24"/>
      <c r="B45" s="19" t="s">
        <v>175</v>
      </c>
      <c r="D45" s="20" t="s">
        <v>202</v>
      </c>
    </row>
    <row r="46" spans="1:4" x14ac:dyDescent="0.3">
      <c r="A46" s="21"/>
      <c r="B46" s="22" t="s">
        <v>177</v>
      </c>
      <c r="D46" s="25" t="s">
        <v>84</v>
      </c>
    </row>
    <row r="47" spans="1:4" x14ac:dyDescent="0.3">
      <c r="A47" s="24"/>
      <c r="B47" s="19" t="s">
        <v>179</v>
      </c>
      <c r="D47" s="20" t="s">
        <v>210</v>
      </c>
    </row>
    <row r="49" spans="1:8" ht="25.95" customHeight="1" x14ac:dyDescent="0.3">
      <c r="A49" s="80" t="s">
        <v>211</v>
      </c>
      <c r="B49" s="66"/>
      <c r="C49" s="66"/>
      <c r="D49" s="66"/>
      <c r="E49" s="66"/>
      <c r="F49" s="66"/>
      <c r="G49" s="66"/>
      <c r="H49" s="66"/>
    </row>
    <row r="50" spans="1:8" ht="22.05" customHeight="1" x14ac:dyDescent="0.3">
      <c r="A50" s="16" t="s">
        <v>167</v>
      </c>
      <c r="B50" s="16" t="s">
        <v>105</v>
      </c>
      <c r="C50" s="16"/>
      <c r="D50" s="16" t="s">
        <v>168</v>
      </c>
      <c r="E50" s="16" t="s">
        <v>169</v>
      </c>
      <c r="F50" s="16"/>
      <c r="G50" s="16"/>
      <c r="H50" s="16"/>
    </row>
    <row r="51" spans="1:8" x14ac:dyDescent="0.3">
      <c r="A51" s="18" t="s">
        <v>170</v>
      </c>
      <c r="B51" s="19" t="s">
        <v>171</v>
      </c>
      <c r="D51" s="20" t="s">
        <v>212</v>
      </c>
    </row>
    <row r="52" spans="1:8" x14ac:dyDescent="0.3">
      <c r="A52" s="21"/>
      <c r="B52" s="22" t="s">
        <v>173</v>
      </c>
      <c r="D52" s="23" t="s">
        <v>213</v>
      </c>
    </row>
    <row r="53" spans="1:8" x14ac:dyDescent="0.3">
      <c r="A53" s="24"/>
      <c r="B53" s="19" t="s">
        <v>175</v>
      </c>
      <c r="D53" s="20" t="s">
        <v>214</v>
      </c>
    </row>
    <row r="54" spans="1:8" x14ac:dyDescent="0.3">
      <c r="A54" s="21"/>
      <c r="B54" s="22" t="s">
        <v>177</v>
      </c>
      <c r="D54" s="23" t="s">
        <v>215</v>
      </c>
    </row>
    <row r="55" spans="1:8" x14ac:dyDescent="0.3">
      <c r="A55" s="24"/>
      <c r="B55" s="19" t="s">
        <v>179</v>
      </c>
      <c r="D55" s="20" t="s">
        <v>216</v>
      </c>
    </row>
    <row r="56" spans="1:8" x14ac:dyDescent="0.3">
      <c r="A56" s="18" t="s">
        <v>181</v>
      </c>
      <c r="B56" s="19" t="s">
        <v>171</v>
      </c>
      <c r="D56" s="20" t="s">
        <v>217</v>
      </c>
    </row>
    <row r="57" spans="1:8" x14ac:dyDescent="0.3">
      <c r="A57" s="21"/>
      <c r="B57" s="22" t="s">
        <v>173</v>
      </c>
      <c r="D57" s="23" t="s">
        <v>218</v>
      </c>
    </row>
    <row r="58" spans="1:8" x14ac:dyDescent="0.3">
      <c r="A58" s="24"/>
      <c r="B58" s="19" t="s">
        <v>175</v>
      </c>
      <c r="D58" s="20" t="s">
        <v>219</v>
      </c>
    </row>
    <row r="59" spans="1:8" x14ac:dyDescent="0.3">
      <c r="A59" s="21"/>
      <c r="B59" s="22" t="s">
        <v>177</v>
      </c>
      <c r="D59" s="23" t="s">
        <v>220</v>
      </c>
    </row>
    <row r="60" spans="1:8" x14ac:dyDescent="0.3">
      <c r="A60" s="24"/>
      <c r="B60" s="19" t="s">
        <v>179</v>
      </c>
      <c r="D60" s="20" t="s">
        <v>221</v>
      </c>
    </row>
    <row r="61" spans="1:8" x14ac:dyDescent="0.3">
      <c r="A61" s="18" t="s">
        <v>187</v>
      </c>
      <c r="B61" s="19" t="s">
        <v>171</v>
      </c>
      <c r="D61" s="20" t="s">
        <v>222</v>
      </c>
    </row>
    <row r="62" spans="1:8" x14ac:dyDescent="0.3">
      <c r="A62" s="21"/>
      <c r="B62" s="22" t="s">
        <v>173</v>
      </c>
      <c r="D62" s="23" t="s">
        <v>223</v>
      </c>
    </row>
    <row r="63" spans="1:8" x14ac:dyDescent="0.3">
      <c r="A63" s="24"/>
      <c r="B63" s="19" t="s">
        <v>175</v>
      </c>
      <c r="D63" s="20" t="s">
        <v>224</v>
      </c>
    </row>
    <row r="64" spans="1:8" x14ac:dyDescent="0.3">
      <c r="A64" s="21"/>
      <c r="B64" s="22" t="s">
        <v>177</v>
      </c>
      <c r="D64" s="23" t="s">
        <v>225</v>
      </c>
    </row>
    <row r="65" spans="1:8" x14ac:dyDescent="0.3">
      <c r="A65" s="24"/>
      <c r="B65" s="19" t="s">
        <v>179</v>
      </c>
      <c r="D65" s="20" t="s">
        <v>226</v>
      </c>
    </row>
    <row r="66" spans="1:8" x14ac:dyDescent="0.3">
      <c r="A66" s="18" t="s">
        <v>193</v>
      </c>
      <c r="B66" s="19" t="s">
        <v>171</v>
      </c>
      <c r="D66" s="20" t="s">
        <v>227</v>
      </c>
    </row>
    <row r="67" spans="1:8" x14ac:dyDescent="0.3">
      <c r="A67" s="21"/>
      <c r="B67" s="22" t="s">
        <v>173</v>
      </c>
      <c r="D67" s="23" t="s">
        <v>228</v>
      </c>
    </row>
    <row r="68" spans="1:8" x14ac:dyDescent="0.3">
      <c r="A68" s="24"/>
      <c r="B68" s="19" t="s">
        <v>175</v>
      </c>
      <c r="D68" s="20" t="s">
        <v>229</v>
      </c>
    </row>
    <row r="69" spans="1:8" x14ac:dyDescent="0.3">
      <c r="A69" s="21"/>
      <c r="B69" s="22" t="s">
        <v>177</v>
      </c>
      <c r="D69" s="23" t="s">
        <v>230</v>
      </c>
    </row>
    <row r="70" spans="1:8" x14ac:dyDescent="0.3">
      <c r="A70" s="24"/>
      <c r="B70" s="19" t="s">
        <v>179</v>
      </c>
      <c r="D70" s="20" t="s">
        <v>201</v>
      </c>
    </row>
    <row r="72" spans="1:8" x14ac:dyDescent="0.3">
      <c r="A72" s="79" t="s">
        <v>231</v>
      </c>
      <c r="B72" s="66"/>
      <c r="C72" s="66"/>
      <c r="D72" s="66"/>
      <c r="E72" s="66"/>
      <c r="F72" s="66"/>
      <c r="G72" s="66"/>
      <c r="H72" s="66"/>
    </row>
    <row r="73" spans="1:8" x14ac:dyDescent="0.3">
      <c r="A73" s="16" t="s">
        <v>167</v>
      </c>
      <c r="B73" s="16" t="s">
        <v>105</v>
      </c>
      <c r="C73" s="16"/>
      <c r="D73" s="16" t="s">
        <v>168</v>
      </c>
      <c r="E73" s="16"/>
      <c r="F73" s="16"/>
      <c r="G73" s="16"/>
      <c r="H73" s="16"/>
    </row>
    <row r="74" spans="1:8" x14ac:dyDescent="0.3">
      <c r="A74" s="18" t="s">
        <v>170</v>
      </c>
      <c r="B74" s="49" t="s">
        <v>171</v>
      </c>
      <c r="D74" s="24" t="s">
        <v>232</v>
      </c>
    </row>
    <row r="75" spans="1:8" x14ac:dyDescent="0.3">
      <c r="A75" s="21"/>
      <c r="B75" s="50" t="s">
        <v>173</v>
      </c>
      <c r="D75" s="21" t="s">
        <v>233</v>
      </c>
    </row>
    <row r="76" spans="1:8" x14ac:dyDescent="0.3">
      <c r="A76" s="24"/>
      <c r="B76" s="49" t="s">
        <v>175</v>
      </c>
      <c r="D76" s="24" t="s">
        <v>234</v>
      </c>
    </row>
    <row r="77" spans="1:8" x14ac:dyDescent="0.3">
      <c r="A77" s="21"/>
      <c r="B77" s="50" t="s">
        <v>177</v>
      </c>
      <c r="D77" s="21" t="s">
        <v>235</v>
      </c>
    </row>
    <row r="78" spans="1:8" x14ac:dyDescent="0.3">
      <c r="A78" s="24"/>
      <c r="B78" s="49" t="s">
        <v>179</v>
      </c>
      <c r="D78" s="24" t="s">
        <v>236</v>
      </c>
    </row>
    <row r="79" spans="1:8" x14ac:dyDescent="0.3">
      <c r="A79" s="18" t="s">
        <v>181</v>
      </c>
      <c r="B79" s="49" t="s">
        <v>171</v>
      </c>
      <c r="D79" s="24" t="s">
        <v>37</v>
      </c>
    </row>
    <row r="80" spans="1:8" x14ac:dyDescent="0.3">
      <c r="A80" s="21"/>
      <c r="B80" s="50" t="s">
        <v>173</v>
      </c>
      <c r="D80" s="21" t="s">
        <v>237</v>
      </c>
    </row>
    <row r="81" spans="1:4" x14ac:dyDescent="0.3">
      <c r="A81" s="24"/>
      <c r="B81" s="49" t="s">
        <v>175</v>
      </c>
      <c r="D81" s="24" t="s">
        <v>238</v>
      </c>
    </row>
    <row r="82" spans="1:4" x14ac:dyDescent="0.3">
      <c r="A82" s="21"/>
      <c r="B82" s="50" t="s">
        <v>177</v>
      </c>
      <c r="D82" s="21" t="s">
        <v>239</v>
      </c>
    </row>
    <row r="83" spans="1:4" x14ac:dyDescent="0.3">
      <c r="A83" s="24"/>
      <c r="B83" s="49" t="s">
        <v>179</v>
      </c>
      <c r="D83" s="24" t="s">
        <v>240</v>
      </c>
    </row>
    <row r="84" spans="1:4" x14ac:dyDescent="0.3">
      <c r="A84" s="18" t="s">
        <v>187</v>
      </c>
      <c r="B84" s="49" t="s">
        <v>171</v>
      </c>
      <c r="D84" s="24" t="s">
        <v>235</v>
      </c>
    </row>
    <row r="85" spans="1:4" x14ac:dyDescent="0.3">
      <c r="A85" s="21"/>
      <c r="B85" s="50" t="s">
        <v>173</v>
      </c>
      <c r="D85" s="21" t="s">
        <v>241</v>
      </c>
    </row>
    <row r="86" spans="1:4" x14ac:dyDescent="0.3">
      <c r="A86" s="24"/>
      <c r="B86" s="49" t="s">
        <v>175</v>
      </c>
      <c r="D86" s="24" t="s">
        <v>242</v>
      </c>
    </row>
    <row r="87" spans="1:4" x14ac:dyDescent="0.3">
      <c r="A87" s="21"/>
      <c r="B87" s="50" t="s">
        <v>177</v>
      </c>
      <c r="D87" s="21" t="s">
        <v>243</v>
      </c>
    </row>
    <row r="88" spans="1:4" x14ac:dyDescent="0.3">
      <c r="A88" s="24"/>
      <c r="B88" s="49" t="s">
        <v>179</v>
      </c>
      <c r="D88" s="24" t="s">
        <v>244</v>
      </c>
    </row>
    <row r="89" spans="1:4" x14ac:dyDescent="0.3">
      <c r="A89" s="18" t="s">
        <v>193</v>
      </c>
      <c r="B89" s="49" t="s">
        <v>171</v>
      </c>
      <c r="D89" s="24" t="s">
        <v>245</v>
      </c>
    </row>
    <row r="90" spans="1:4" x14ac:dyDescent="0.3">
      <c r="A90" s="21"/>
      <c r="B90" s="50" t="s">
        <v>173</v>
      </c>
      <c r="D90" s="21" t="s">
        <v>246</v>
      </c>
    </row>
    <row r="91" spans="1:4" x14ac:dyDescent="0.3">
      <c r="A91" s="24"/>
      <c r="B91" s="49" t="s">
        <v>175</v>
      </c>
      <c r="D91" s="24" t="s">
        <v>247</v>
      </c>
    </row>
    <row r="92" spans="1:4" x14ac:dyDescent="0.3">
      <c r="A92" s="21"/>
      <c r="B92" s="50" t="s">
        <v>177</v>
      </c>
      <c r="D92" s="21" t="s">
        <v>248</v>
      </c>
    </row>
    <row r="93" spans="1:4" x14ac:dyDescent="0.3">
      <c r="A93" s="24"/>
      <c r="B93" s="49" t="s">
        <v>179</v>
      </c>
      <c r="D93" s="24" t="s">
        <v>249</v>
      </c>
    </row>
  </sheetData>
  <mergeCells count="5">
    <mergeCell ref="A26:H26"/>
    <mergeCell ref="A3:H3"/>
    <mergeCell ref="A72:H72"/>
    <mergeCell ref="A49:H4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showGridLines="0" topLeftCell="A2" workbookViewId="0">
      <selection sqref="A1:G1"/>
    </sheetView>
  </sheetViews>
  <sheetFormatPr defaultRowHeight="14.4" x14ac:dyDescent="0.3"/>
  <cols>
    <col min="1" max="1" width="14" customWidth="1"/>
    <col min="2" max="2" width="10" customWidth="1"/>
    <col min="3" max="5" width="16" customWidth="1"/>
    <col min="6" max="6" width="5" customWidth="1"/>
    <col min="7" max="7" width="18" customWidth="1"/>
  </cols>
  <sheetData>
    <row r="1" spans="1:7" ht="30" customHeight="1" x14ac:dyDescent="0.3">
      <c r="A1" s="74" t="s">
        <v>250</v>
      </c>
      <c r="B1" s="66"/>
      <c r="C1" s="66"/>
      <c r="D1" s="66"/>
      <c r="E1" s="66"/>
      <c r="F1" s="66"/>
      <c r="G1" s="66"/>
    </row>
    <row r="2" spans="1:7" x14ac:dyDescent="0.3">
      <c r="A2" s="81" t="s">
        <v>251</v>
      </c>
      <c r="B2" s="66"/>
      <c r="C2" s="66"/>
      <c r="D2" s="66"/>
      <c r="E2" s="66"/>
      <c r="F2" s="66"/>
      <c r="G2" s="66"/>
    </row>
    <row r="4" spans="1:7" x14ac:dyDescent="0.3">
      <c r="A4" s="16" t="s">
        <v>252</v>
      </c>
      <c r="B4" s="16" t="s">
        <v>167</v>
      </c>
      <c r="C4" s="16" t="s">
        <v>253</v>
      </c>
      <c r="D4" s="16" t="s">
        <v>254</v>
      </c>
      <c r="E4" s="16" t="s">
        <v>255</v>
      </c>
      <c r="F4" s="16"/>
      <c r="G4" s="16" t="s">
        <v>256</v>
      </c>
    </row>
    <row r="5" spans="1:7" ht="18" customHeight="1" x14ac:dyDescent="0.3">
      <c r="A5" s="26" t="s">
        <v>3</v>
      </c>
      <c r="B5" s="27" t="s">
        <v>170</v>
      </c>
      <c r="C5" s="27" t="s">
        <v>257</v>
      </c>
      <c r="D5" s="27" t="s">
        <v>258</v>
      </c>
      <c r="E5" s="27" t="s">
        <v>259</v>
      </c>
      <c r="G5" s="27" t="s">
        <v>260</v>
      </c>
    </row>
    <row r="6" spans="1:7" ht="18" customHeight="1" x14ac:dyDescent="0.3">
      <c r="A6" s="23"/>
      <c r="B6" s="28" t="s">
        <v>181</v>
      </c>
      <c r="C6" s="28" t="s">
        <v>261</v>
      </c>
      <c r="D6" s="28" t="s">
        <v>262</v>
      </c>
      <c r="E6" s="29" t="s">
        <v>263</v>
      </c>
      <c r="G6" s="30" t="s">
        <v>264</v>
      </c>
    </row>
    <row r="7" spans="1:7" ht="18" customHeight="1" x14ac:dyDescent="0.3">
      <c r="A7" s="20"/>
      <c r="B7" s="27" t="s">
        <v>187</v>
      </c>
      <c r="C7" s="27" t="s">
        <v>265</v>
      </c>
      <c r="D7" s="27" t="s">
        <v>266</v>
      </c>
      <c r="E7" s="29" t="s">
        <v>267</v>
      </c>
      <c r="G7" s="30" t="s">
        <v>264</v>
      </c>
    </row>
    <row r="8" spans="1:7" ht="18" customHeight="1" x14ac:dyDescent="0.3">
      <c r="A8" s="23"/>
      <c r="B8" s="28" t="s">
        <v>193</v>
      </c>
      <c r="C8" s="28" t="s">
        <v>268</v>
      </c>
      <c r="D8" s="28" t="s">
        <v>269</v>
      </c>
      <c r="E8" s="28" t="s">
        <v>270</v>
      </c>
      <c r="G8" s="28" t="s">
        <v>260</v>
      </c>
    </row>
    <row r="10" spans="1:7" ht="18" customHeight="1" x14ac:dyDescent="0.3">
      <c r="A10" s="31" t="s">
        <v>4</v>
      </c>
      <c r="B10" s="27" t="s">
        <v>170</v>
      </c>
      <c r="C10" s="27" t="s">
        <v>271</v>
      </c>
      <c r="D10" s="27" t="s">
        <v>272</v>
      </c>
      <c r="E10" s="32" t="s">
        <v>273</v>
      </c>
      <c r="G10" s="33" t="s">
        <v>274</v>
      </c>
    </row>
    <row r="11" spans="1:7" ht="18" customHeight="1" x14ac:dyDescent="0.3">
      <c r="A11" s="23"/>
      <c r="B11" s="28" t="s">
        <v>181</v>
      </c>
      <c r="C11" s="28" t="s">
        <v>275</v>
      </c>
      <c r="D11" s="28" t="s">
        <v>276</v>
      </c>
      <c r="E11" s="32" t="s">
        <v>273</v>
      </c>
      <c r="G11" s="33" t="s">
        <v>274</v>
      </c>
    </row>
    <row r="12" spans="1:7" ht="18" customHeight="1" x14ac:dyDescent="0.3">
      <c r="A12" s="20"/>
      <c r="B12" s="27" t="s">
        <v>187</v>
      </c>
      <c r="C12" s="27" t="s">
        <v>277</v>
      </c>
      <c r="D12" s="27" t="s">
        <v>278</v>
      </c>
      <c r="E12" s="32" t="s">
        <v>279</v>
      </c>
      <c r="G12" s="33" t="s">
        <v>274</v>
      </c>
    </row>
    <row r="13" spans="1:7" ht="18" customHeight="1" x14ac:dyDescent="0.3">
      <c r="A13" s="23"/>
      <c r="B13" s="28" t="s">
        <v>193</v>
      </c>
      <c r="C13" s="28" t="s">
        <v>280</v>
      </c>
      <c r="D13" s="28" t="s">
        <v>281</v>
      </c>
      <c r="E13" s="32" t="s">
        <v>282</v>
      </c>
      <c r="G13" s="33" t="s">
        <v>274</v>
      </c>
    </row>
    <row r="15" spans="1:7" ht="18" customHeight="1" x14ac:dyDescent="0.3">
      <c r="A15" s="34" t="s">
        <v>5</v>
      </c>
      <c r="B15" s="27" t="s">
        <v>170</v>
      </c>
      <c r="C15" s="27" t="s">
        <v>283</v>
      </c>
      <c r="D15" s="27" t="s">
        <v>284</v>
      </c>
      <c r="E15" s="27" t="s">
        <v>285</v>
      </c>
      <c r="G15" s="27" t="s">
        <v>286</v>
      </c>
    </row>
    <row r="16" spans="1:7" ht="18" customHeight="1" x14ac:dyDescent="0.3">
      <c r="A16" s="23"/>
      <c r="B16" s="28" t="s">
        <v>181</v>
      </c>
      <c r="C16" s="28" t="s">
        <v>287</v>
      </c>
      <c r="D16" s="28" t="s">
        <v>288</v>
      </c>
      <c r="E16" s="28" t="s">
        <v>289</v>
      </c>
      <c r="G16" s="28" t="s">
        <v>286</v>
      </c>
    </row>
    <row r="17" spans="1:7" ht="18" customHeight="1" x14ac:dyDescent="0.3">
      <c r="A17" s="20"/>
      <c r="B17" s="27" t="s">
        <v>187</v>
      </c>
      <c r="C17" s="27" t="s">
        <v>290</v>
      </c>
      <c r="D17" s="27" t="s">
        <v>291</v>
      </c>
      <c r="E17" s="27" t="s">
        <v>292</v>
      </c>
      <c r="G17" s="27" t="s">
        <v>286</v>
      </c>
    </row>
    <row r="18" spans="1:7" ht="18" customHeight="1" x14ac:dyDescent="0.3">
      <c r="A18" s="23"/>
      <c r="B18" s="28" t="s">
        <v>193</v>
      </c>
      <c r="C18" s="28" t="s">
        <v>293</v>
      </c>
      <c r="D18" s="28" t="s">
        <v>294</v>
      </c>
      <c r="E18" s="28" t="s">
        <v>295</v>
      </c>
      <c r="G18" s="28" t="s">
        <v>260</v>
      </c>
    </row>
    <row r="20" spans="1:7" x14ac:dyDescent="0.3">
      <c r="A20" s="51" t="s">
        <v>6</v>
      </c>
      <c r="B20" s="27" t="s">
        <v>170</v>
      </c>
      <c r="C20" s="27" t="s">
        <v>296</v>
      </c>
      <c r="D20" s="27" t="s">
        <v>297</v>
      </c>
      <c r="E20" s="32" t="s">
        <v>298</v>
      </c>
      <c r="G20" s="52" t="s">
        <v>274</v>
      </c>
    </row>
    <row r="21" spans="1:7" x14ac:dyDescent="0.3">
      <c r="A21" s="23"/>
      <c r="B21" s="28" t="s">
        <v>181</v>
      </c>
      <c r="C21" s="28" t="s">
        <v>299</v>
      </c>
      <c r="D21" s="28" t="s">
        <v>300</v>
      </c>
      <c r="E21" s="32" t="s">
        <v>301</v>
      </c>
      <c r="G21" s="52" t="s">
        <v>274</v>
      </c>
    </row>
    <row r="22" spans="1:7" x14ac:dyDescent="0.3">
      <c r="A22" s="20"/>
      <c r="B22" s="27" t="s">
        <v>187</v>
      </c>
      <c r="C22" s="27" t="s">
        <v>302</v>
      </c>
      <c r="D22" s="27" t="s">
        <v>303</v>
      </c>
      <c r="E22" s="32" t="s">
        <v>304</v>
      </c>
      <c r="G22" s="52" t="s">
        <v>274</v>
      </c>
    </row>
    <row r="23" spans="1:7" x14ac:dyDescent="0.3">
      <c r="A23" s="23"/>
      <c r="B23" s="28" t="s">
        <v>193</v>
      </c>
      <c r="C23" s="28" t="s">
        <v>305</v>
      </c>
      <c r="D23" s="28" t="s">
        <v>306</v>
      </c>
      <c r="E23" s="32" t="s">
        <v>307</v>
      </c>
      <c r="G23" s="52" t="s">
        <v>274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showGridLines="0" workbookViewId="0">
      <selection sqref="A1:G1"/>
    </sheetView>
  </sheetViews>
  <sheetFormatPr defaultRowHeight="14.4" x14ac:dyDescent="0.3"/>
  <cols>
    <col min="1" max="1" width="28" customWidth="1"/>
    <col min="2" max="2" width="5" customWidth="1"/>
    <col min="3" max="6" width="16" customWidth="1"/>
    <col min="7" max="7" width="24" customWidth="1"/>
  </cols>
  <sheetData>
    <row r="1" spans="1:7" ht="30" customHeight="1" x14ac:dyDescent="0.3">
      <c r="A1" s="74" t="s">
        <v>308</v>
      </c>
      <c r="B1" s="66"/>
      <c r="C1" s="66"/>
      <c r="D1" s="66"/>
      <c r="E1" s="66"/>
      <c r="F1" s="66"/>
      <c r="G1" s="66"/>
    </row>
    <row r="2" spans="1:7" ht="19.95" customHeight="1" x14ac:dyDescent="0.3">
      <c r="A2" s="81" t="s">
        <v>309</v>
      </c>
      <c r="B2" s="66"/>
      <c r="C2" s="66"/>
      <c r="D2" s="66"/>
      <c r="E2" s="66"/>
      <c r="F2" s="66"/>
      <c r="G2" s="66"/>
    </row>
    <row r="4" spans="1:7" ht="22.05" customHeight="1" x14ac:dyDescent="0.3">
      <c r="A4" s="16" t="s">
        <v>105</v>
      </c>
      <c r="B4" s="16"/>
      <c r="C4" s="16" t="s">
        <v>3</v>
      </c>
      <c r="D4" s="16" t="s">
        <v>4</v>
      </c>
      <c r="E4" s="16" t="s">
        <v>5</v>
      </c>
      <c r="F4" s="51" t="s">
        <v>6</v>
      </c>
      <c r="G4" s="16" t="s">
        <v>310</v>
      </c>
    </row>
    <row r="5" spans="1:7" ht="19.95" customHeight="1" x14ac:dyDescent="0.3">
      <c r="A5" s="49" t="s">
        <v>33</v>
      </c>
      <c r="C5" s="20" t="s">
        <v>311</v>
      </c>
      <c r="D5" s="20" t="s">
        <v>312</v>
      </c>
      <c r="E5" s="20" t="s">
        <v>313</v>
      </c>
      <c r="F5" s="53" t="s">
        <v>314</v>
      </c>
      <c r="G5" s="35" t="s">
        <v>315</v>
      </c>
    </row>
    <row r="6" spans="1:7" ht="19.95" customHeight="1" x14ac:dyDescent="0.3">
      <c r="A6" s="50" t="s">
        <v>48</v>
      </c>
      <c r="C6" s="23" t="s">
        <v>316</v>
      </c>
      <c r="D6" s="23" t="s">
        <v>317</v>
      </c>
      <c r="E6" s="23" t="s">
        <v>318</v>
      </c>
      <c r="F6" s="53" t="s">
        <v>319</v>
      </c>
      <c r="G6" s="35" t="s">
        <v>315</v>
      </c>
    </row>
    <row r="7" spans="1:7" ht="19.95" customHeight="1" x14ac:dyDescent="0.3">
      <c r="A7" s="49" t="s">
        <v>54</v>
      </c>
      <c r="C7" s="20" t="s">
        <v>320</v>
      </c>
      <c r="D7" s="20" t="s">
        <v>321</v>
      </c>
      <c r="E7" s="20" t="s">
        <v>322</v>
      </c>
      <c r="F7" s="53" t="s">
        <v>323</v>
      </c>
      <c r="G7" s="35" t="s">
        <v>315</v>
      </c>
    </row>
    <row r="8" spans="1:7" ht="19.95" customHeight="1" x14ac:dyDescent="0.3">
      <c r="A8" s="50" t="s">
        <v>59</v>
      </c>
      <c r="C8" s="23" t="s">
        <v>324</v>
      </c>
      <c r="D8" s="23" t="s">
        <v>321</v>
      </c>
      <c r="E8" s="23" t="s">
        <v>322</v>
      </c>
      <c r="F8" s="53" t="s">
        <v>323</v>
      </c>
      <c r="G8" s="35" t="s">
        <v>315</v>
      </c>
    </row>
    <row r="9" spans="1:7" ht="19.95" customHeight="1" x14ac:dyDescent="0.3">
      <c r="A9" s="49" t="s">
        <v>38</v>
      </c>
      <c r="C9" s="20" t="s">
        <v>325</v>
      </c>
      <c r="D9" s="20" t="s">
        <v>317</v>
      </c>
      <c r="E9" s="20" t="s">
        <v>318</v>
      </c>
      <c r="F9" s="53" t="s">
        <v>319</v>
      </c>
      <c r="G9" s="35" t="s">
        <v>315</v>
      </c>
    </row>
    <row r="10" spans="1:7" ht="19.95" customHeight="1" x14ac:dyDescent="0.3">
      <c r="A10" s="50" t="s">
        <v>42</v>
      </c>
      <c r="C10" s="23" t="s">
        <v>326</v>
      </c>
      <c r="D10" s="23" t="s">
        <v>317</v>
      </c>
      <c r="E10" s="23" t="s">
        <v>318</v>
      </c>
      <c r="F10" s="53" t="s">
        <v>319</v>
      </c>
      <c r="G10" s="35" t="s">
        <v>315</v>
      </c>
    </row>
    <row r="11" spans="1:7" ht="19.95" customHeight="1" x14ac:dyDescent="0.3">
      <c r="A11" s="49" t="s">
        <v>44</v>
      </c>
      <c r="C11" s="20" t="s">
        <v>327</v>
      </c>
      <c r="D11" s="20" t="s">
        <v>328</v>
      </c>
      <c r="E11" s="20" t="s">
        <v>313</v>
      </c>
      <c r="F11" s="53" t="s">
        <v>329</v>
      </c>
      <c r="G11" s="35" t="s">
        <v>315</v>
      </c>
    </row>
    <row r="12" spans="1:7" ht="19.95" customHeight="1" x14ac:dyDescent="0.3">
      <c r="A12" s="50" t="s">
        <v>63</v>
      </c>
      <c r="C12" s="23" t="s">
        <v>330</v>
      </c>
      <c r="D12" s="23" t="s">
        <v>331</v>
      </c>
      <c r="E12" s="23" t="s">
        <v>332</v>
      </c>
      <c r="F12" s="53" t="s">
        <v>333</v>
      </c>
      <c r="G12" s="35" t="s">
        <v>334</v>
      </c>
    </row>
    <row r="13" spans="1:7" ht="19.95" customHeight="1" x14ac:dyDescent="0.3">
      <c r="A13" s="49" t="s">
        <v>68</v>
      </c>
      <c r="C13" s="20" t="s">
        <v>335</v>
      </c>
      <c r="D13" s="20" t="s">
        <v>336</v>
      </c>
      <c r="E13" s="20" t="s">
        <v>337</v>
      </c>
      <c r="F13" s="53" t="s">
        <v>338</v>
      </c>
      <c r="G13" s="35" t="s">
        <v>334</v>
      </c>
    </row>
    <row r="14" spans="1:7" ht="19.95" customHeight="1" x14ac:dyDescent="0.3">
      <c r="A14" s="50" t="s">
        <v>73</v>
      </c>
      <c r="C14" s="23" t="s">
        <v>339</v>
      </c>
      <c r="D14" s="23" t="s">
        <v>340</v>
      </c>
      <c r="E14" s="23" t="s">
        <v>341</v>
      </c>
      <c r="F14" s="53" t="s">
        <v>342</v>
      </c>
      <c r="G14" s="35" t="s">
        <v>315</v>
      </c>
    </row>
    <row r="15" spans="1:7" ht="19.95" customHeight="1" x14ac:dyDescent="0.3">
      <c r="A15" s="49" t="s">
        <v>78</v>
      </c>
      <c r="C15" s="20" t="s">
        <v>326</v>
      </c>
      <c r="D15" s="20" t="s">
        <v>343</v>
      </c>
      <c r="E15" s="20" t="s">
        <v>344</v>
      </c>
      <c r="F15" s="53" t="s">
        <v>345</v>
      </c>
      <c r="G15" s="35" t="s">
        <v>315</v>
      </c>
    </row>
    <row r="18" spans="1:7" x14ac:dyDescent="0.3">
      <c r="A18" s="82" t="s">
        <v>346</v>
      </c>
      <c r="B18" s="66"/>
      <c r="C18" s="66"/>
      <c r="D18" s="66"/>
      <c r="E18" s="66"/>
      <c r="F18" s="66"/>
      <c r="G18" s="66"/>
    </row>
    <row r="19" spans="1:7" ht="30" customHeight="1" x14ac:dyDescent="0.3">
      <c r="C19" s="36" t="s">
        <v>347</v>
      </c>
      <c r="D19" s="37" t="s">
        <v>347</v>
      </c>
      <c r="E19" s="38" t="s">
        <v>347</v>
      </c>
      <c r="F19" s="54" t="s">
        <v>348</v>
      </c>
    </row>
  </sheetData>
  <mergeCells count="3">
    <mergeCell ref="A2:G2"/>
    <mergeCell ref="A1:G1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Comparison Dashboard</vt:lpstr>
      <vt:lpstr>Fair Comparison</vt:lpstr>
      <vt:lpstr>Per-Option Letter</vt:lpstr>
      <vt:lpstr>Calibration</vt:lpstr>
      <vt:lpstr>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Dashpreet Singh</cp:lastModifiedBy>
  <dcterms:created xsi:type="dcterms:W3CDTF">2026-05-14T12:17:08Z</dcterms:created>
  <dcterms:modified xsi:type="dcterms:W3CDTF">2026-05-15T06:35:57Z</dcterms:modified>
</cp:coreProperties>
</file>